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nurag Nayak\career\git_parent_folder\Wholesale_Price_Index_Case_Study\analysis\"/>
    </mc:Choice>
  </mc:AlternateContent>
  <xr:revisionPtr revIDLastSave="0" documentId="13_ncr:1_{0F3213C9-C914-491C-A825-29BAABF3F7D0}" xr6:coauthVersionLast="47" xr6:coauthVersionMax="47" xr10:uidLastSave="{00000000-0000-0000-0000-000000000000}"/>
  <bookViews>
    <workbookView xWindow="-110" yWindow="-110" windowWidth="19420" windowHeight="11500" tabRatio="696" activeTab="3" xr2:uid="{98D9BCE6-D704-4EEE-BFAE-6D365CF1F06A}"/>
  </bookViews>
  <sheets>
    <sheet name="Q1-data" sheetId="6" r:id="rId1"/>
    <sheet name="Q1 - analysis" sheetId="7" r:id="rId2"/>
    <sheet name="Q2-data" sheetId="9" r:id="rId3"/>
    <sheet name="Q2 - analysis" sheetId="13" r:id="rId4"/>
  </sheets>
  <definedNames>
    <definedName name="ExternalData_1" localSheetId="2" hidden="1">'Q2-data'!$A$1:$C$140</definedName>
    <definedName name="ExternalData_4" localSheetId="0" hidden="1">'Q1-data'!$A$1:$W$842</definedName>
    <definedName name="Slicer_Months__Date">#N/A</definedName>
    <definedName name="Slicer_Months__Date1">#N/A</definedName>
    <definedName name="Slicer_Years__Date">#N/A</definedName>
    <definedName name="Slicer_Years__Date1">#N/A</definedName>
  </definedNames>
  <calcPr calcId="191029"/>
  <pivotCaches>
    <pivotCache cacheId="62" r:id="rId5"/>
    <pivotCache cacheId="70" r:id="rId6"/>
    <pivotCache cacheId="74"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9" l="1"/>
  <c r="B2" i="9"/>
  <c r="H13" i="9" s="1"/>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G2" i="9" a="1"/>
  <c r="G2" i="9" s="1"/>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3" i="9"/>
  <c r="D2" i="9"/>
  <c r="Q7" i="7"/>
  <c r="Q3" i="7"/>
  <c r="R3" i="7"/>
  <c r="S3" i="7"/>
  <c r="T3" i="7"/>
  <c r="U3" i="7"/>
  <c r="V3" i="7"/>
  <c r="W3" i="7"/>
  <c r="X3" i="7"/>
  <c r="Y3" i="7"/>
  <c r="Z3" i="7"/>
  <c r="AA3" i="7"/>
  <c r="AB3" i="7"/>
  <c r="Q4" i="7"/>
  <c r="R4" i="7"/>
  <c r="S4" i="7"/>
  <c r="T4" i="7"/>
  <c r="U4" i="7"/>
  <c r="V4" i="7"/>
  <c r="W4" i="7"/>
  <c r="X4" i="7"/>
  <c r="Y4" i="7"/>
  <c r="Z4" i="7"/>
  <c r="AA4" i="7"/>
  <c r="AB4" i="7"/>
  <c r="Q5" i="7"/>
  <c r="R5" i="7"/>
  <c r="S5" i="7"/>
  <c r="T5" i="7"/>
  <c r="U5" i="7"/>
  <c r="V5" i="7"/>
  <c r="W5" i="7"/>
  <c r="X5" i="7"/>
  <c r="Y5" i="7"/>
  <c r="Z5" i="7"/>
  <c r="AA5" i="7"/>
  <c r="AB5" i="7"/>
  <c r="Q6" i="7"/>
  <c r="R6" i="7"/>
  <c r="S6" i="7"/>
  <c r="T6" i="7"/>
  <c r="U6" i="7"/>
  <c r="V6" i="7"/>
  <c r="W6" i="7"/>
  <c r="X6" i="7"/>
  <c r="Y6" i="7"/>
  <c r="Z6" i="7"/>
  <c r="AA6" i="7"/>
  <c r="AB6" i="7"/>
  <c r="R7" i="7"/>
  <c r="S7" i="7"/>
  <c r="T7" i="7"/>
  <c r="U7" i="7"/>
  <c r="V7" i="7"/>
  <c r="W7" i="7"/>
  <c r="X7" i="7"/>
  <c r="Y7" i="7"/>
  <c r="Z7" i="7"/>
  <c r="AA7" i="7"/>
  <c r="AB7" i="7"/>
  <c r="Q8" i="7"/>
  <c r="R8" i="7"/>
  <c r="S8" i="7"/>
  <c r="T8" i="7"/>
  <c r="U8" i="7"/>
  <c r="V8" i="7"/>
  <c r="W8" i="7"/>
  <c r="X8" i="7"/>
  <c r="Y8" i="7"/>
  <c r="Z8" i="7"/>
  <c r="AA8" i="7"/>
  <c r="AB8" i="7"/>
  <c r="Q9" i="7"/>
  <c r="R9" i="7"/>
  <c r="S9" i="7"/>
  <c r="T9" i="7"/>
  <c r="U9" i="7"/>
  <c r="V9" i="7"/>
  <c r="W9" i="7"/>
  <c r="X9" i="7"/>
  <c r="Y9" i="7"/>
  <c r="Z9" i="7"/>
  <c r="AA9" i="7"/>
  <c r="AB9" i="7"/>
  <c r="Q10" i="7"/>
  <c r="R10" i="7"/>
  <c r="S10" i="7"/>
  <c r="T10" i="7"/>
  <c r="U10" i="7"/>
  <c r="V10" i="7"/>
  <c r="W10" i="7"/>
  <c r="X10" i="7"/>
  <c r="Y10" i="7"/>
  <c r="Z10" i="7"/>
  <c r="AA10" i="7"/>
  <c r="AB10" i="7"/>
  <c r="Q11" i="7"/>
  <c r="R11" i="7"/>
  <c r="S11" i="7"/>
  <c r="T11" i="7"/>
  <c r="U11" i="7"/>
  <c r="V11" i="7"/>
  <c r="W11" i="7"/>
  <c r="X11" i="7"/>
  <c r="Y11" i="7"/>
  <c r="Z11" i="7"/>
  <c r="AA11" i="7"/>
  <c r="AB11" i="7"/>
  <c r="Q12" i="7"/>
  <c r="R12" i="7"/>
  <c r="S12" i="7"/>
  <c r="T12" i="7"/>
  <c r="U12" i="7"/>
  <c r="V12" i="7"/>
  <c r="W12" i="7"/>
  <c r="X12" i="7"/>
  <c r="Y12" i="7"/>
  <c r="Z12" i="7"/>
  <c r="AA12" i="7"/>
  <c r="AB12" i="7"/>
  <c r="Q13" i="7"/>
  <c r="R13" i="7"/>
  <c r="S13" i="7"/>
  <c r="T13" i="7"/>
  <c r="U13" i="7"/>
  <c r="V13" i="7"/>
  <c r="W13" i="7"/>
  <c r="X13" i="7"/>
  <c r="Y13" i="7"/>
  <c r="Z13" i="7"/>
  <c r="AA13" i="7"/>
  <c r="AB13" i="7"/>
  <c r="Q14" i="7"/>
  <c r="R14" i="7"/>
  <c r="S14" i="7"/>
  <c r="T14" i="7"/>
  <c r="U14" i="7"/>
  <c r="V14" i="7"/>
  <c r="W14" i="7"/>
  <c r="X14" i="7"/>
  <c r="Y14" i="7"/>
  <c r="Z14" i="7"/>
  <c r="AA14" i="7"/>
  <c r="AB14" i="7"/>
  <c r="Q15" i="7"/>
  <c r="R15" i="7"/>
  <c r="S15" i="7"/>
  <c r="T15" i="7"/>
  <c r="U15" i="7"/>
  <c r="V15" i="7"/>
  <c r="W15" i="7"/>
  <c r="X15" i="7"/>
  <c r="Y15" i="7"/>
  <c r="Z15" i="7"/>
  <c r="AA15" i="7"/>
  <c r="AB15" i="7"/>
  <c r="Q16" i="7"/>
  <c r="R16" i="7"/>
  <c r="S16" i="7"/>
  <c r="T16" i="7"/>
  <c r="U16" i="7"/>
  <c r="V16" i="7"/>
  <c r="W16" i="7"/>
  <c r="X16" i="7"/>
  <c r="Y16" i="7"/>
  <c r="Z16" i="7"/>
  <c r="AA16" i="7"/>
  <c r="AB16" i="7"/>
  <c r="Q17" i="7"/>
  <c r="R17" i="7"/>
  <c r="S17" i="7"/>
  <c r="T17" i="7"/>
  <c r="U17" i="7"/>
  <c r="V17" i="7"/>
  <c r="W17" i="7"/>
  <c r="X17" i="7"/>
  <c r="Y17" i="7"/>
  <c r="Z17" i="7"/>
  <c r="AA17" i="7"/>
  <c r="AB17" i="7"/>
  <c r="Q18" i="7"/>
  <c r="R18" i="7"/>
  <c r="S18" i="7"/>
  <c r="T18" i="7"/>
  <c r="U18" i="7"/>
  <c r="V18" i="7"/>
  <c r="W18" i="7"/>
  <c r="X18" i="7"/>
  <c r="Y18" i="7"/>
  <c r="Z18" i="7"/>
  <c r="AA18" i="7"/>
  <c r="AB18" i="7"/>
  <c r="Q19" i="7"/>
  <c r="R19" i="7"/>
  <c r="S19" i="7"/>
  <c r="T19" i="7"/>
  <c r="U19" i="7"/>
  <c r="V19" i="7"/>
  <c r="W19" i="7"/>
  <c r="X19" i="7"/>
  <c r="Y19" i="7"/>
  <c r="Z19" i="7"/>
  <c r="AA19" i="7"/>
  <c r="AB19" i="7"/>
  <c r="Q20" i="7"/>
  <c r="R20" i="7"/>
  <c r="S20" i="7"/>
  <c r="T20" i="7"/>
  <c r="U20" i="7"/>
  <c r="V20" i="7"/>
  <c r="W20" i="7"/>
  <c r="X20" i="7"/>
  <c r="Y20" i="7"/>
  <c r="Z20" i="7"/>
  <c r="AA20" i="7"/>
  <c r="AB20" i="7"/>
  <c r="Q21" i="7"/>
  <c r="R21" i="7"/>
  <c r="S21" i="7"/>
  <c r="T21" i="7"/>
  <c r="U21" i="7"/>
  <c r="V21" i="7"/>
  <c r="W21" i="7"/>
  <c r="X21" i="7"/>
  <c r="Y21" i="7"/>
  <c r="Z21" i="7"/>
  <c r="AA21" i="7"/>
  <c r="AB21" i="7"/>
  <c r="Q22" i="7"/>
  <c r="R22" i="7"/>
  <c r="S22" i="7"/>
  <c r="T22" i="7"/>
  <c r="U22" i="7"/>
  <c r="V22" i="7"/>
  <c r="W22" i="7"/>
  <c r="X22" i="7"/>
  <c r="Y22" i="7"/>
  <c r="Z22" i="7"/>
  <c r="AA22" i="7"/>
  <c r="AB22" i="7"/>
  <c r="Q23" i="7"/>
  <c r="R23" i="7"/>
  <c r="S23" i="7"/>
  <c r="T23" i="7"/>
  <c r="U23" i="7"/>
  <c r="V23" i="7"/>
  <c r="W23" i="7"/>
  <c r="X23" i="7"/>
  <c r="Y23" i="7"/>
  <c r="Z23" i="7"/>
  <c r="AA23" i="7"/>
  <c r="AB23" i="7"/>
  <c r="Q24" i="7"/>
  <c r="R24" i="7"/>
  <c r="S24" i="7"/>
  <c r="T24" i="7"/>
  <c r="U24" i="7"/>
  <c r="V24" i="7"/>
  <c r="W24" i="7"/>
  <c r="X24" i="7"/>
  <c r="Y24" i="7"/>
  <c r="Z24" i="7"/>
  <c r="AA24" i="7"/>
  <c r="AB24" i="7"/>
  <c r="AC846" i="6"/>
  <c r="AD846" i="6"/>
  <c r="AE846" i="6"/>
  <c r="AC847" i="6"/>
  <c r="AD847" i="6"/>
  <c r="AE847" i="6"/>
  <c r="V860" i="6"/>
  <c r="V861" i="6"/>
  <c r="W860" i="6"/>
  <c r="X860" i="6"/>
  <c r="Y860" i="6"/>
  <c r="Z860" i="6"/>
  <c r="AB860" i="6"/>
  <c r="AC860" i="6"/>
  <c r="AD860" i="6"/>
  <c r="AE860" i="6"/>
  <c r="AF860" i="6"/>
  <c r="AG860" i="6"/>
  <c r="AI860" i="6"/>
  <c r="AJ860" i="6"/>
  <c r="AK860" i="6"/>
  <c r="AL860" i="6"/>
  <c r="AM860" i="6"/>
  <c r="AN860" i="6"/>
  <c r="AO860" i="6"/>
  <c r="AP860" i="6"/>
  <c r="AQ860" i="6"/>
  <c r="AR860" i="6"/>
  <c r="AS860" i="6"/>
  <c r="W861" i="6"/>
  <c r="X861" i="6"/>
  <c r="Y861" i="6"/>
  <c r="Z861" i="6"/>
  <c r="AB861" i="6"/>
  <c r="AC861" i="6"/>
  <c r="AD861" i="6"/>
  <c r="AE861" i="6"/>
  <c r="AF861" i="6"/>
  <c r="AG861" i="6"/>
  <c r="AI861" i="6"/>
  <c r="AJ861" i="6"/>
  <c r="AK861" i="6"/>
  <c r="AL861" i="6"/>
  <c r="AM861" i="6"/>
  <c r="AN861" i="6"/>
  <c r="AO861" i="6"/>
  <c r="AP861" i="6"/>
  <c r="AQ861" i="6"/>
  <c r="AR861" i="6"/>
  <c r="AS861" i="6"/>
  <c r="AS859" i="6"/>
  <c r="AR859" i="6"/>
  <c r="AQ859" i="6"/>
  <c r="AP859" i="6"/>
  <c r="AO859" i="6"/>
  <c r="AN859" i="6"/>
  <c r="AM859" i="6"/>
  <c r="AL859" i="6"/>
  <c r="AK859" i="6"/>
  <c r="AJ859" i="6"/>
  <c r="AI859" i="6"/>
  <c r="AG859" i="6"/>
  <c r="AF859" i="6"/>
  <c r="AE859" i="6"/>
  <c r="AD859" i="6"/>
  <c r="AC859" i="6"/>
  <c r="AB859" i="6"/>
  <c r="Z859" i="6"/>
  <c r="Y859" i="6"/>
  <c r="X859" i="6"/>
  <c r="W859" i="6"/>
  <c r="V859" i="6"/>
  <c r="W847" i="6"/>
  <c r="X847" i="6"/>
  <c r="Y847" i="6"/>
  <c r="Z847" i="6"/>
  <c r="AB847" i="6"/>
  <c r="AF847" i="6"/>
  <c r="AG847" i="6"/>
  <c r="AI847" i="6"/>
  <c r="AJ847" i="6"/>
  <c r="AK847" i="6"/>
  <c r="AL847" i="6"/>
  <c r="AM847" i="6"/>
  <c r="AN847" i="6"/>
  <c r="AO847" i="6"/>
  <c r="AP847" i="6"/>
  <c r="AQ847" i="6"/>
  <c r="AR847" i="6"/>
  <c r="AS847" i="6"/>
  <c r="W848" i="6"/>
  <c r="X848" i="6"/>
  <c r="Y848" i="6"/>
  <c r="Z848" i="6"/>
  <c r="AB848" i="6"/>
  <c r="AC848" i="6"/>
  <c r="AD848" i="6"/>
  <c r="AE848" i="6"/>
  <c r="AF848" i="6"/>
  <c r="AG848" i="6"/>
  <c r="AI848" i="6"/>
  <c r="AJ848" i="6"/>
  <c r="AK848" i="6"/>
  <c r="AL848" i="6"/>
  <c r="AM848" i="6"/>
  <c r="AN848" i="6"/>
  <c r="AO848" i="6"/>
  <c r="AP848" i="6"/>
  <c r="AQ848" i="6"/>
  <c r="AR848" i="6"/>
  <c r="AS848" i="6"/>
  <c r="W849" i="6"/>
  <c r="X849" i="6"/>
  <c r="Y849" i="6"/>
  <c r="Z849" i="6"/>
  <c r="AB849" i="6"/>
  <c r="AC849" i="6"/>
  <c r="AD849" i="6"/>
  <c r="AE849" i="6"/>
  <c r="AF849" i="6"/>
  <c r="AG849" i="6"/>
  <c r="AI849" i="6"/>
  <c r="AJ849" i="6"/>
  <c r="AK849" i="6"/>
  <c r="AL849" i="6"/>
  <c r="AM849" i="6"/>
  <c r="AN849" i="6"/>
  <c r="AO849" i="6"/>
  <c r="AP849" i="6"/>
  <c r="AQ849" i="6"/>
  <c r="AR849" i="6"/>
  <c r="AS849" i="6"/>
  <c r="W850" i="6"/>
  <c r="X850" i="6"/>
  <c r="Y850" i="6"/>
  <c r="Z850" i="6"/>
  <c r="AB850" i="6"/>
  <c r="AC850" i="6"/>
  <c r="AD850" i="6"/>
  <c r="AE850" i="6"/>
  <c r="AF850" i="6"/>
  <c r="AG850" i="6"/>
  <c r="AI850" i="6"/>
  <c r="AJ850" i="6"/>
  <c r="AK850" i="6"/>
  <c r="AL850" i="6"/>
  <c r="AM850" i="6"/>
  <c r="AN850" i="6"/>
  <c r="AO850" i="6"/>
  <c r="AP850" i="6"/>
  <c r="AQ850" i="6"/>
  <c r="AR850" i="6"/>
  <c r="AS850" i="6"/>
  <c r="W851" i="6"/>
  <c r="X851" i="6"/>
  <c r="Y851" i="6"/>
  <c r="Z851" i="6"/>
  <c r="AB851" i="6"/>
  <c r="AC851" i="6"/>
  <c r="AD851" i="6"/>
  <c r="AE851" i="6"/>
  <c r="AF851" i="6"/>
  <c r="AG851" i="6"/>
  <c r="AI851" i="6"/>
  <c r="AJ851" i="6"/>
  <c r="AK851" i="6"/>
  <c r="AL851" i="6"/>
  <c r="AM851" i="6"/>
  <c r="AN851" i="6"/>
  <c r="AO851" i="6"/>
  <c r="AP851" i="6"/>
  <c r="AQ851" i="6"/>
  <c r="AR851" i="6"/>
  <c r="AS851" i="6"/>
  <c r="W852" i="6"/>
  <c r="X852" i="6"/>
  <c r="Y852" i="6"/>
  <c r="Z852" i="6"/>
  <c r="AB852" i="6"/>
  <c r="AC852" i="6"/>
  <c r="AD852" i="6"/>
  <c r="AE852" i="6"/>
  <c r="AF852" i="6"/>
  <c r="AG852" i="6"/>
  <c r="AI852" i="6"/>
  <c r="AJ852" i="6"/>
  <c r="AK852" i="6"/>
  <c r="AL852" i="6"/>
  <c r="AM852" i="6"/>
  <c r="AN852" i="6"/>
  <c r="AO852" i="6"/>
  <c r="AP852" i="6"/>
  <c r="AQ852" i="6"/>
  <c r="AR852" i="6"/>
  <c r="AS852" i="6"/>
  <c r="W853" i="6"/>
  <c r="X853" i="6"/>
  <c r="Y853" i="6"/>
  <c r="Z853" i="6"/>
  <c r="AB853" i="6"/>
  <c r="AC853" i="6"/>
  <c r="AD853" i="6"/>
  <c r="AE853" i="6"/>
  <c r="AF853" i="6"/>
  <c r="AG853" i="6"/>
  <c r="AI853" i="6"/>
  <c r="AJ853" i="6"/>
  <c r="AK853" i="6"/>
  <c r="AL853" i="6"/>
  <c r="AM853" i="6"/>
  <c r="AN853" i="6"/>
  <c r="AO853" i="6"/>
  <c r="AP853" i="6"/>
  <c r="AQ853" i="6"/>
  <c r="AR853" i="6"/>
  <c r="AS853" i="6"/>
  <c r="W854" i="6"/>
  <c r="X854" i="6"/>
  <c r="Y854" i="6"/>
  <c r="Z854" i="6"/>
  <c r="AB854" i="6"/>
  <c r="AC854" i="6"/>
  <c r="AD854" i="6"/>
  <c r="AE854" i="6"/>
  <c r="AF854" i="6"/>
  <c r="AG854" i="6"/>
  <c r="AI854" i="6"/>
  <c r="AJ854" i="6"/>
  <c r="AK854" i="6"/>
  <c r="AL854" i="6"/>
  <c r="AM854" i="6"/>
  <c r="AN854" i="6"/>
  <c r="AO854" i="6"/>
  <c r="AP854" i="6"/>
  <c r="AQ854" i="6"/>
  <c r="AR854" i="6"/>
  <c r="AS854" i="6"/>
  <c r="W855" i="6"/>
  <c r="X855" i="6"/>
  <c r="Y855" i="6"/>
  <c r="Z855" i="6"/>
  <c r="AB855" i="6"/>
  <c r="AC855" i="6"/>
  <c r="AD855" i="6"/>
  <c r="AE855" i="6"/>
  <c r="AF855" i="6"/>
  <c r="AG855" i="6"/>
  <c r="AI855" i="6"/>
  <c r="AJ855" i="6"/>
  <c r="AK855" i="6"/>
  <c r="AL855" i="6"/>
  <c r="AM855" i="6"/>
  <c r="AN855" i="6"/>
  <c r="AO855" i="6"/>
  <c r="AP855" i="6"/>
  <c r="AQ855" i="6"/>
  <c r="AR855" i="6"/>
  <c r="AS855" i="6"/>
  <c r="W856" i="6"/>
  <c r="X856" i="6"/>
  <c r="Y856" i="6"/>
  <c r="Z856" i="6"/>
  <c r="AB856" i="6"/>
  <c r="AC856" i="6"/>
  <c r="AD856" i="6"/>
  <c r="AE856" i="6"/>
  <c r="AF856" i="6"/>
  <c r="AG856" i="6"/>
  <c r="AI856" i="6"/>
  <c r="AJ856" i="6"/>
  <c r="AK856" i="6"/>
  <c r="AL856" i="6"/>
  <c r="AM856" i="6"/>
  <c r="AN856" i="6"/>
  <c r="AO856" i="6"/>
  <c r="AP856" i="6"/>
  <c r="AQ856" i="6"/>
  <c r="AR856" i="6"/>
  <c r="AS856" i="6"/>
  <c r="AS846" i="6"/>
  <c r="AR846" i="6"/>
  <c r="AQ846" i="6"/>
  <c r="AP846" i="6"/>
  <c r="AO846" i="6"/>
  <c r="AN846" i="6"/>
  <c r="AM846" i="6"/>
  <c r="AL846" i="6"/>
  <c r="AK846" i="6"/>
  <c r="AJ846" i="6"/>
  <c r="AI846" i="6"/>
  <c r="AG846" i="6"/>
  <c r="AF846" i="6"/>
  <c r="AB846" i="6"/>
  <c r="Z846" i="6"/>
  <c r="Y846" i="6"/>
  <c r="X846" i="6"/>
  <c r="W846" i="6"/>
  <c r="V847" i="6"/>
  <c r="V848" i="6"/>
  <c r="V849" i="6"/>
  <c r="V850" i="6"/>
  <c r="V851" i="6"/>
  <c r="V852" i="6"/>
  <c r="V853" i="6"/>
  <c r="V854" i="6"/>
  <c r="V855" i="6"/>
  <c r="V856" i="6"/>
  <c r="V846" i="6"/>
  <c r="H2" i="9" l="1"/>
  <c r="I3" i="9" s="1"/>
  <c r="H12" i="9"/>
  <c r="H11" i="9"/>
  <c r="H10" i="9"/>
  <c r="H9" i="9"/>
  <c r="H8" i="9"/>
  <c r="H7" i="9"/>
  <c r="H6" i="9"/>
  <c r="H5" i="9"/>
  <c r="H4" i="9"/>
  <c r="I4" i="9" s="1"/>
  <c r="I6" i="9" l="1"/>
  <c r="I8" i="9"/>
  <c r="I10" i="9"/>
  <c r="I12" i="9"/>
  <c r="I5" i="9"/>
  <c r="I7" i="9"/>
  <c r="I9" i="9"/>
  <c r="I11" i="9"/>
  <c r="I1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7C7554-714D-4F41-8687-DBEA365FA561}" keepAlive="1" name="Query - Q2-data" description="Connection to the 'Q2-data' query in the workbook." type="5" refreshedVersion="8" background="1" saveData="1">
    <dbPr connection="Provider=Microsoft.Mashup.OleDb.1;Data Source=$Workbook$;Location=Q2-data;Extended Properties=&quot;&quot;" command="SELECT * FROM [Q2-data]"/>
  </connection>
  <connection id="2" xr16:uid="{2F63ADA7-8895-46F8-8BF6-E000D5429FBF}" keepAlive="1" name="Query - wpi_data_prepped" description="Connection to the 'wpi_data_prepped' query in the workbook." type="5" refreshedVersion="8" background="1" saveData="1">
    <dbPr connection="Provider=Microsoft.Mashup.OleDb.1;Data Source=$Workbook$;Location=wpi_data_prepped;Extended Properties=&quot;&quot;" command="SELECT * FROM [wpi_data_prepped]"/>
  </connection>
  <connection id="3" xr16:uid="{659110EB-02C3-495A-AFC0-E6AF7567DC9C}" keepAlive="1" name="Query - wpi_energy_prepped" description="Connection to the 'wpi_energy_prepped' query in the workbook." type="5" refreshedVersion="0" background="1">
    <dbPr connection="Provider=Microsoft.Mashup.OleDb.1;Data Source=$Workbook$;Location=wpi_energy_prepped;Extended Properties=&quot;&quot;" command="SELECT * FROM [wpi_energy_prepped]"/>
  </connection>
  <connection id="4" xr16:uid="{2E86A742-A2A8-44F1-AAAD-97BB7896D95E}" keepAlive="1" name="Query - wpi_only" description="Connection to the 'wpi_only' query in the workbook." type="5" refreshedVersion="0" background="1">
    <dbPr connection="Provider=Microsoft.Mashup.OleDb.1;Data Source=$Workbook$;Location=wpi_only;Extended Properties=&quot;&quot;" command="SELECT * FROM [wpi_only]"/>
  </connection>
  <connection id="5" xr16:uid="{D189D615-A32A-4976-A1BD-B747E297CDC0}" keepAlive="1" name="Query - wpi_primary_articles_prepped" description="Connection to the 'wpi_primary_articles_prepped' query in the workbook." type="5" refreshedVersion="0" background="1">
    <dbPr connection="Provider=Microsoft.Mashup.OleDb.1;Data Source=$Workbook$;Location=wpi_primary_articles_prepped;Extended Properties=&quot;&quot;" command="SELECT * FROM [wpi_primary_articles_prepped]"/>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<sst xmlns="http://schemas.openxmlformats.org/spreadsheetml/2006/main" count="3596" uniqueCount="926">
  <si>
    <t>YEAR</t>
  </si>
  <si>
    <t>Bajra</t>
  </si>
  <si>
    <t>Moong</t>
  </si>
  <si>
    <t>Masur</t>
  </si>
  <si>
    <t>Peas/Chawali</t>
  </si>
  <si>
    <t>Cauliflower</t>
  </si>
  <si>
    <t>Okra (Lady finger)</t>
  </si>
  <si>
    <t>Beans</t>
  </si>
  <si>
    <t>Drumstick</t>
  </si>
  <si>
    <t>Orange</t>
  </si>
  <si>
    <t>Cashew nut</t>
  </si>
  <si>
    <t>Grapes</t>
  </si>
  <si>
    <t>Mosambi (Sweet Orange)</t>
  </si>
  <si>
    <t>Pear</t>
  </si>
  <si>
    <t>Black Pepper</t>
  </si>
  <si>
    <t>Garlic</t>
  </si>
  <si>
    <t>Coriander</t>
  </si>
  <si>
    <t>Tamarind</t>
  </si>
  <si>
    <t>f.  OTHER FOOD ARTICLES</t>
  </si>
  <si>
    <t>a.  FIBRES</t>
  </si>
  <si>
    <t>Raw Cotton</t>
  </si>
  <si>
    <t>Raw Wool</t>
  </si>
  <si>
    <t>Raw Silk</t>
  </si>
  <si>
    <t>Cotton Seed</t>
  </si>
  <si>
    <t>Copra (Coconut)</t>
  </si>
  <si>
    <t>Gingelly Seed (Sesamum)</t>
  </si>
  <si>
    <t>Safflower (Kardi Seed)</t>
  </si>
  <si>
    <t>Tanning Materials</t>
  </si>
  <si>
    <t>Tobacco</t>
  </si>
  <si>
    <t>Raw Rubber</t>
  </si>
  <si>
    <t>Industrial wood</t>
  </si>
  <si>
    <t>Fodder</t>
  </si>
  <si>
    <t>d.   FLORICULTURE</t>
  </si>
  <si>
    <t>Rose</t>
  </si>
  <si>
    <t>Marigold</t>
  </si>
  <si>
    <t>Zinc Concentrate</t>
  </si>
  <si>
    <t>Copper Concentrate</t>
  </si>
  <si>
    <t>(D). CRUDE PETROLEUM &amp; NATURAL GAS</t>
  </si>
  <si>
    <t>Petrol</t>
  </si>
  <si>
    <t>Buffalo meat, fresh/frozen</t>
  </si>
  <si>
    <t>Fish frozen/canned/processed</t>
  </si>
  <si>
    <t>Cotton seed Oil</t>
  </si>
  <si>
    <t>Ice cream</t>
  </si>
  <si>
    <t>Wheat flour (Atta)</t>
  </si>
  <si>
    <t>Flour of cereals other than rice, wheat etc.</t>
  </si>
  <si>
    <t>Basmati rice</t>
  </si>
  <si>
    <t>Biscuit, cookies</t>
  </si>
  <si>
    <t>Bagasse</t>
  </si>
  <si>
    <t>Chocolate &amp; cocoa powder</t>
  </si>
  <si>
    <t>Spices (including mixed spices)</t>
  </si>
  <si>
    <t>Soya preparations excluding oil</t>
  </si>
  <si>
    <t>Country liquor</t>
  </si>
  <si>
    <t>Cigarette</t>
  </si>
  <si>
    <t>Woollen yarn</t>
  </si>
  <si>
    <t>Woollen woven cloth</t>
  </si>
  <si>
    <t>Synthetic Fabric  Others</t>
  </si>
  <si>
    <t>Bed linen/Bed Spread</t>
  </si>
  <si>
    <t>Cotton Dyed/printed textile</t>
  </si>
  <si>
    <t>Cotton Towel</t>
  </si>
  <si>
    <t>Men/Boys suits, coats and jackets</t>
  </si>
  <si>
    <t>Hosiery goods, others cotton</t>
  </si>
  <si>
    <t>a. Tanning and dressing of leather; dressing and dyeing of fur</t>
  </si>
  <si>
    <t>Vegetable Tanned Leather</t>
  </si>
  <si>
    <t>Particle Boards</t>
  </si>
  <si>
    <t>Paper for printing &amp; writing</t>
  </si>
  <si>
    <t>Laminated Paper</t>
  </si>
  <si>
    <t>Laminated plastic sheet</t>
  </si>
  <si>
    <t>Printed Books</t>
  </si>
  <si>
    <t>Dye stuff/dyes incl. dye intermediates and pigments/colours</t>
  </si>
  <si>
    <t>Aromatic chemicals</t>
  </si>
  <si>
    <t>Caustic soda (sodium hydroxide)</t>
  </si>
  <si>
    <t>Mono Ethyl Glycol</t>
  </si>
  <si>
    <t>Menthol</t>
  </si>
  <si>
    <t>Amine</t>
  </si>
  <si>
    <t>Alcohols</t>
  </si>
  <si>
    <t>Phthalic anhydride</t>
  </si>
  <si>
    <t>Sodium Silicate</t>
  </si>
  <si>
    <t>Ammonia liquid</t>
  </si>
  <si>
    <t>Paint</t>
  </si>
  <si>
    <t>Detergent cake, washing soap cake/bar/powder</t>
  </si>
  <si>
    <t>Face/Body Powder</t>
  </si>
  <si>
    <t>Safety matches (match box)</t>
  </si>
  <si>
    <t>Adhesive excluding gum</t>
  </si>
  <si>
    <t>Adhesive tape (non-medicinal)</t>
  </si>
  <si>
    <t>Additive</t>
  </si>
  <si>
    <t>Polyester chips or Polyethylene terepthalate (PET) chips</t>
  </si>
  <si>
    <t>Acrylic fibre</t>
  </si>
  <si>
    <t>Viscose staple fibre</t>
  </si>
  <si>
    <t>Anti cancer drugs</t>
  </si>
  <si>
    <t>Anti-retroviral drugs for HIV treatment</t>
  </si>
  <si>
    <t>API &amp; formulations of vitamins</t>
  </si>
  <si>
    <t>Digestive enzymes and antacids</t>
  </si>
  <si>
    <t>Antiseptics and disinfectants</t>
  </si>
  <si>
    <t>Cotton wool (medicinal)</t>
  </si>
  <si>
    <t>Tractor Tyre</t>
  </si>
  <si>
    <t>Condoms</t>
  </si>
  <si>
    <t>Polypropylene film</t>
  </si>
  <si>
    <t>Plastic furniture</t>
  </si>
  <si>
    <t>Thermocol</t>
  </si>
  <si>
    <t>Acrylic/plastic sheet</t>
  </si>
  <si>
    <t>Glass bottle</t>
  </si>
  <si>
    <t>Porcelain sanitary ware</t>
  </si>
  <si>
    <t>Railway sleeper</t>
  </si>
  <si>
    <t>Poles &amp; posts of concrete</t>
  </si>
  <si>
    <t>Ferrochrome</t>
  </si>
  <si>
    <t>b. Metallic iron</t>
  </si>
  <si>
    <t>MS Slabs</t>
  </si>
  <si>
    <t>MS Wire Rods</t>
  </si>
  <si>
    <t>Hot Rolled (HR) Coils &amp; Sheets, including Narrow Strip</t>
  </si>
  <si>
    <t>Stainless Steel bars &amp; rods, including flats</t>
  </si>
  <si>
    <t>Aluminium powder</t>
  </si>
  <si>
    <t>Copper shapes - bars/rods/plates/strips</t>
  </si>
  <si>
    <t>Alumnium Foil</t>
  </si>
  <si>
    <t>Aluminium ingot</t>
  </si>
  <si>
    <t>Bracket</t>
  </si>
  <si>
    <t>Auxiliary plant for use with boilers</t>
  </si>
  <si>
    <t>Bolts, screws, nuts &amp; nails of Iron &amp; steel</t>
  </si>
  <si>
    <t>Sanitary fittings of Iron &amp; Steel</t>
  </si>
  <si>
    <t>Pressure cooker</t>
  </si>
  <si>
    <t>Generators &amp; Alternators</t>
  </si>
  <si>
    <t>Safety fuse</t>
  </si>
  <si>
    <t>Dry cells such as torch light batteries</t>
  </si>
  <si>
    <t>Lead acid batteries for vehicles &amp; other uses</t>
  </si>
  <si>
    <t>Copper wire</t>
  </si>
  <si>
    <t>Electric switch</t>
  </si>
  <si>
    <t>Fan</t>
  </si>
  <si>
    <t>Electric welding machine</t>
  </si>
  <si>
    <t>Hydraulic pump</t>
  </si>
  <si>
    <t>Water pump</t>
  </si>
  <si>
    <t>Furnaces &amp; Ovens</t>
  </si>
  <si>
    <t>Air conditioning plant</t>
  </si>
  <si>
    <t>Deep freezers</t>
  </si>
  <si>
    <t>Water purifier</t>
  </si>
  <si>
    <t>Agriculture implements</t>
  </si>
  <si>
    <t>Excavator</t>
  </si>
  <si>
    <t>Loader</t>
  </si>
  <si>
    <t>Roller mill (Raymond)</t>
  </si>
  <si>
    <t>Machinery for plastic products - extruded</t>
  </si>
  <si>
    <t>Chemical equipment &amp; system</t>
  </si>
  <si>
    <t>Packing machine</t>
  </si>
  <si>
    <t>Passenger vehicles</t>
  </si>
  <si>
    <t>Shafts of all kinds</t>
  </si>
  <si>
    <t>Cylinder liners</t>
  </si>
  <si>
    <t>Seat for motor vehicles</t>
  </si>
  <si>
    <t>Iron/Steel Furniture</t>
  </si>
  <si>
    <t>Cricket ball</t>
  </si>
  <si>
    <t>Football</t>
  </si>
  <si>
    <t>Playing Cards</t>
  </si>
  <si>
    <t>All commodities</t>
  </si>
  <si>
    <t>(A).  FOOD ARTICLES</t>
  </si>
  <si>
    <t>a2. PULSES</t>
  </si>
  <si>
    <t>Arhar</t>
  </si>
  <si>
    <t>Urad</t>
  </si>
  <si>
    <t>Potato</t>
  </si>
  <si>
    <t>Cabbage</t>
  </si>
  <si>
    <t>Carrot</t>
  </si>
  <si>
    <t>Pointed gourd</t>
  </si>
  <si>
    <t>Mango</t>
  </si>
  <si>
    <t>Amla</t>
  </si>
  <si>
    <t>d.  EGGS,MEAT &amp; FISH</t>
  </si>
  <si>
    <t>Fish-Inland</t>
  </si>
  <si>
    <t>Mutton</t>
  </si>
  <si>
    <t>Beef and Buffalo Meat</t>
  </si>
  <si>
    <t>Poultry Chicken</t>
  </si>
  <si>
    <t>Raw Jute</t>
  </si>
  <si>
    <t>Castor Seed</t>
  </si>
  <si>
    <t>c.  OTHER NON-FOOD ARTICLES</t>
  </si>
  <si>
    <t>Bauxite</t>
  </si>
  <si>
    <t>Iron Ore</t>
  </si>
  <si>
    <t>Phosphorite</t>
  </si>
  <si>
    <t>Garnet</t>
  </si>
  <si>
    <t>Natural Gas</t>
  </si>
  <si>
    <t>Coking Coal</t>
  </si>
  <si>
    <t>b. Non-Coking Coal</t>
  </si>
  <si>
    <t>a.) Non-Coking Coal G1 to G6 [GCV exceeding 5500 Kcal/kg.]</t>
  </si>
  <si>
    <t>c. Lignite</t>
  </si>
  <si>
    <t>(B). MINERAL OILS</t>
  </si>
  <si>
    <t>Bitumen</t>
  </si>
  <si>
    <t>Lube Oils</t>
  </si>
  <si>
    <t>a. Processing and preserving of meat</t>
  </si>
  <si>
    <t>Meat of goat, fresh or chilled</t>
  </si>
  <si>
    <t>Other meats, preserved/processed</t>
  </si>
  <si>
    <t>Shrimps/Prawns - Processed/Frozen</t>
  </si>
  <si>
    <t>c. Processing and preserving of fruit and vegetables</t>
  </si>
  <si>
    <t>Fruit pulp</t>
  </si>
  <si>
    <t>Vanaspati</t>
  </si>
  <si>
    <t>Groundnut Oil</t>
  </si>
  <si>
    <t>Condensed Milk</t>
  </si>
  <si>
    <t>Ghee</t>
  </si>
  <si>
    <t>Gur</t>
  </si>
  <si>
    <t>Honey</t>
  </si>
  <si>
    <t>Noodles &amp; similar extruded products</t>
  </si>
  <si>
    <t>Processed Tea</t>
  </si>
  <si>
    <t>Instant Coffee</t>
  </si>
  <si>
    <t>Instant Food/Prepared meals based on vegetables</t>
  </si>
  <si>
    <t>Corn Flake</t>
  </si>
  <si>
    <t>Whey powder</t>
  </si>
  <si>
    <t>Rice Bran Extract</t>
  </si>
  <si>
    <t>Cotton cloth (dyed, printed, or otherwise finished/processed)</t>
  </si>
  <si>
    <t>Fabrics/cloth, rayon</t>
  </si>
  <si>
    <t>Blankets</t>
  </si>
  <si>
    <t>Terry Towel</t>
  </si>
  <si>
    <t>Leather garments incl. Jackets</t>
  </si>
  <si>
    <t>Gloves of leather</t>
  </si>
  <si>
    <t>Leather Shoe</t>
  </si>
  <si>
    <t>Timber/wooden plank, sawn/resawn</t>
  </si>
  <si>
    <t>Wooden board (non-electrical)</t>
  </si>
  <si>
    <t>Paper bag including craft paper bag</t>
  </si>
  <si>
    <t>Kraft paper</t>
  </si>
  <si>
    <t>Alkyl Benzene</t>
  </si>
  <si>
    <t>Other Petrochemical Intermediates</t>
  </si>
  <si>
    <t>Aniline (including pna, ona, ocpna)</t>
  </si>
  <si>
    <t>Nitric Acid</t>
  </si>
  <si>
    <t>Sulphuric Acid</t>
  </si>
  <si>
    <t>Di ammonium phosphate</t>
  </si>
  <si>
    <t>Ammonium sulphate</t>
  </si>
  <si>
    <t>Nitrogenous fertilizer, others</t>
  </si>
  <si>
    <t>Poly Propylene (PP)</t>
  </si>
  <si>
    <t>Poly Vinyl Chloride (PVC)</t>
  </si>
  <si>
    <t>Oleoresin</t>
  </si>
  <si>
    <t>XLPE Compound</t>
  </si>
  <si>
    <t>Hair oil/Body Oil</t>
  </si>
  <si>
    <t>Shampoo</t>
  </si>
  <si>
    <t>Plasticizer</t>
  </si>
  <si>
    <t>Gelatine</t>
  </si>
  <si>
    <t>Vials/ampoule, glass, empty or filled</t>
  </si>
  <si>
    <t>Vaccine for hepatitis B</t>
  </si>
  <si>
    <t>Simvastatin</t>
  </si>
  <si>
    <t>Anti allergic drugs</t>
  </si>
  <si>
    <t>Plastic capsules</t>
  </si>
  <si>
    <t>Anti-malarial drugs</t>
  </si>
  <si>
    <t>Solid Rubber Tyres/Wheels</t>
  </si>
  <si>
    <t>Cycle/Cycle rickshaw tyre</t>
  </si>
  <si>
    <t>V belt</t>
  </si>
  <si>
    <t>Rubber moulded goods</t>
  </si>
  <si>
    <t>Conveyer belt (fibre based)</t>
  </si>
  <si>
    <t>Rubber Crumb</t>
  </si>
  <si>
    <t>Plastic film</t>
  </si>
  <si>
    <t>Plastic bag</t>
  </si>
  <si>
    <t>Ordinary sheet glass</t>
  </si>
  <si>
    <t>Ceramic tiles (Vitrified tiles)</t>
  </si>
  <si>
    <t>Electric insulating material</t>
  </si>
  <si>
    <t>Ordinary Portland cement</t>
  </si>
  <si>
    <t>slag cement</t>
  </si>
  <si>
    <t>Pozzolana cement</t>
  </si>
  <si>
    <t>g. Cutting, shaping and finishing of stone</t>
  </si>
  <si>
    <t>a. Inputs into steel making</t>
  </si>
  <si>
    <t>Sponge Iron/Direct Reduced Iron (DRI)</t>
  </si>
  <si>
    <t>Stainless Steel Pencil Ingots/Billets/Slabs</t>
  </si>
  <si>
    <t>Galvanized iron pipes</t>
  </si>
  <si>
    <t>Aluminium Disk and Circles</t>
  </si>
  <si>
    <t>MS castings</t>
  </si>
  <si>
    <t>Metal cutting tools &amp; accessories</t>
  </si>
  <si>
    <t>Steel structures</t>
  </si>
  <si>
    <t>Stainless steel utensils</t>
  </si>
  <si>
    <t>Stainless steel razor</t>
  </si>
  <si>
    <t>Lock/padlock</t>
  </si>
  <si>
    <t>Iron/steel cap</t>
  </si>
  <si>
    <t>Hose pipes in set or otherwise</t>
  </si>
  <si>
    <t>Capacitors</t>
  </si>
  <si>
    <t>Electronic Printed Circuit Board (PCB)/micro circuit</t>
  </si>
  <si>
    <t>X-ray equipment</t>
  </si>
  <si>
    <t>Transformer</t>
  </si>
  <si>
    <t>A C Motor</t>
  </si>
  <si>
    <t>Electric &amp; other meters</t>
  </si>
  <si>
    <t>Meter Panel</t>
  </si>
  <si>
    <t>ACSR Conductors</t>
  </si>
  <si>
    <t>Insulating &amp; flexible wire</t>
  </si>
  <si>
    <t>Incandescent Lamps</t>
  </si>
  <si>
    <t>Electric filament type lamps</t>
  </si>
  <si>
    <t>Air Coolers</t>
  </si>
  <si>
    <t>Injection pump</t>
  </si>
  <si>
    <t>Soil preparation &amp; cultivation machinery (other than tractors)</t>
  </si>
  <si>
    <t>Lathes</t>
  </si>
  <si>
    <t>Mining, quarrying &amp; metallurgical machinery/parts</t>
  </si>
  <si>
    <t>Mixing machine</t>
  </si>
  <si>
    <t>Machinery used in the milling industry</t>
  </si>
  <si>
    <t>Printing machinery</t>
  </si>
  <si>
    <t>Evaporator</t>
  </si>
  <si>
    <t>Shock absorbers</t>
  </si>
  <si>
    <t>Axles of motor vehicles</t>
  </si>
  <si>
    <t>Ignition device</t>
  </si>
  <si>
    <t>Fishing vessels, trawlers</t>
  </si>
  <si>
    <t>Wagons</t>
  </si>
  <si>
    <t>Auto rickshaw/Tempo/Matador/Three wheelers</t>
  </si>
  <si>
    <t>Steel shutter gate</t>
  </si>
  <si>
    <t>Stringed musical instruments (incl. Santoor, Guitars, etc.)</t>
  </si>
  <si>
    <t>Intraocular Lens</t>
  </si>
  <si>
    <t>IV FOOD INDEX</t>
  </si>
  <si>
    <t>a.  FOOD GRAINS (CEREALS+PULSES)</t>
  </si>
  <si>
    <t>Paddy</t>
  </si>
  <si>
    <t>Barley</t>
  </si>
  <si>
    <t>Tapioca</t>
  </si>
  <si>
    <t>Radish</t>
  </si>
  <si>
    <t>Cucumber</t>
  </si>
  <si>
    <t>Pumpkin</t>
  </si>
  <si>
    <t>Jackfruit</t>
  </si>
  <si>
    <t>Milk</t>
  </si>
  <si>
    <t>Fish-Marine</t>
  </si>
  <si>
    <t>Turmeric</t>
  </si>
  <si>
    <t>Cardamom</t>
  </si>
  <si>
    <t>Ginger (Dry)</t>
  </si>
  <si>
    <t>Cumin</t>
  </si>
  <si>
    <t>Tea</t>
  </si>
  <si>
    <t>Coffee</t>
  </si>
  <si>
    <t>Mesta</t>
  </si>
  <si>
    <t>Groundnut Seed</t>
  </si>
  <si>
    <t>Niger Seed</t>
  </si>
  <si>
    <t>Sunflower</t>
  </si>
  <si>
    <t>Hides (Raw)</t>
  </si>
  <si>
    <t>Skins (Raw)</t>
  </si>
  <si>
    <t>Jasmine</t>
  </si>
  <si>
    <t>Chromite</t>
  </si>
  <si>
    <t>Limestone</t>
  </si>
  <si>
    <t>Crude Petroleum</t>
  </si>
  <si>
    <t>LPG</t>
  </si>
  <si>
    <t>Kerosene</t>
  </si>
  <si>
    <t>Naphtha</t>
  </si>
  <si>
    <t>(C). ELECTRICITY</t>
  </si>
  <si>
    <t>Chicken/duck, dressed - fresh/frozen</t>
  </si>
  <si>
    <t>Soyabean Oil</t>
  </si>
  <si>
    <t>Castor Oil</t>
  </si>
  <si>
    <t>Palm Oil</t>
  </si>
  <si>
    <t>Wheat Bran</t>
  </si>
  <si>
    <t>Gram powder (besan)</t>
  </si>
  <si>
    <t>Rice, Non-basmati</t>
  </si>
  <si>
    <t>Cakes, pastries &amp; muffins</t>
  </si>
  <si>
    <t>Sugar</t>
  </si>
  <si>
    <t>Salt</t>
  </si>
  <si>
    <t>Gola &amp; similar Cattle Feed</t>
  </si>
  <si>
    <t>Spirits</t>
  </si>
  <si>
    <t>Wine</t>
  </si>
  <si>
    <t>Rectified spirit</t>
  </si>
  <si>
    <t>Aerated drinks/soft drinks (incl. soft drink concentrates)</t>
  </si>
  <si>
    <t>Biri</t>
  </si>
  <si>
    <t>Other tobacco products</t>
  </si>
  <si>
    <t>Synthetic yarn</t>
  </si>
  <si>
    <t>b. Weaving &amp; Finishing of textiles</t>
  </si>
  <si>
    <t>Cotton woven cloth</t>
  </si>
  <si>
    <t>Fabric, polyethylene</t>
  </si>
  <si>
    <t>Jute sacking cloth/Gunny and hessian cloth</t>
  </si>
  <si>
    <t>Knitted fabrics of cotton</t>
  </si>
  <si>
    <t>Cotton hosiery cloth</t>
  </si>
  <si>
    <t>Quilts</t>
  </si>
  <si>
    <t>Curtains</t>
  </si>
  <si>
    <t>Carpets and other floor coverings of textiles</t>
  </si>
  <si>
    <t>Shirts/half shirts of cotton and/or man-made fibre</t>
  </si>
  <si>
    <t>Shawls and scarves, knitted</t>
  </si>
  <si>
    <t>Chrome Tanned Leather</t>
  </si>
  <si>
    <t>Travel goods, handbags, office bags, etc.</t>
  </si>
  <si>
    <t>Belt &amp; Other Articles of Leather</t>
  </si>
  <si>
    <t>Harness, Saddles &amp; Other related Items</t>
  </si>
  <si>
    <t>Wood cutting, processed/sized</t>
  </si>
  <si>
    <t>Plywood block boards</t>
  </si>
  <si>
    <t>Wooden block - compressed or not</t>
  </si>
  <si>
    <t>Wooden box/crate</t>
  </si>
  <si>
    <t>Newsprint</t>
  </si>
  <si>
    <t>Press board</t>
  </si>
  <si>
    <t>Paper carton/box</t>
  </si>
  <si>
    <t>Newspaper</t>
  </si>
  <si>
    <t>Printed labels/posters/calendars</t>
  </si>
  <si>
    <t>Fatty acid</t>
  </si>
  <si>
    <t>Organic Solvent</t>
  </si>
  <si>
    <t>Phosphoric acid</t>
  </si>
  <si>
    <t>Liquid air &amp; other gaseous products</t>
  </si>
  <si>
    <t>Other Inorganic Chemicals</t>
  </si>
  <si>
    <t>Mixed fertilizer</t>
  </si>
  <si>
    <t>Ammonium phosphate</t>
  </si>
  <si>
    <t>Toilet soap</t>
  </si>
  <si>
    <t>Agarbatti</t>
  </si>
  <si>
    <t>Perfume/scent</t>
  </si>
  <si>
    <t>Polyester film(metalized)</t>
  </si>
  <si>
    <t>Hydrogen peroxide</t>
  </si>
  <si>
    <t>Epoxy, liquid</t>
  </si>
  <si>
    <t>Rubber Chemicals</t>
  </si>
  <si>
    <t>Antidiabetic drug excluding insulin (i.e. tolbutam)</t>
  </si>
  <si>
    <t>Vaccine for polio</t>
  </si>
  <si>
    <t>IV fluids</t>
  </si>
  <si>
    <t>Motor Car Tyre</t>
  </si>
  <si>
    <t>2/3 wheeler Tyre</t>
  </si>
  <si>
    <t>Medium &amp; heavy commercial vehicle tube</t>
  </si>
  <si>
    <t>Rubber components &amp; parts</t>
  </si>
  <si>
    <t>Elastic webbing</t>
  </si>
  <si>
    <t>PVC fittings &amp; other accessories</t>
  </si>
  <si>
    <t>Plastic tube (flexible/non-flexible)</t>
  </si>
  <si>
    <t>Plastic tape</t>
  </si>
  <si>
    <t>Plastic tank</t>
  </si>
  <si>
    <t>Fibre glass incl. sheet</t>
  </si>
  <si>
    <t>Lime and calcium carbonate</t>
  </si>
  <si>
    <t>Graphite rod</t>
  </si>
  <si>
    <t>Other ferro alloys</t>
  </si>
  <si>
    <t>c. Mild Steel - Semi Finished Steel</t>
  </si>
  <si>
    <t>d. Mild Steel -Long Products</t>
  </si>
  <si>
    <t>MS Bright Bars</t>
  </si>
  <si>
    <t>e. Mild Steel - Flat products</t>
  </si>
  <si>
    <t>GP/GC sheet</t>
  </si>
  <si>
    <t>f. Alloy steel other than Stainless Steel- Shapes</t>
  </si>
  <si>
    <t>g. Stainless Steel - Semi Finished</t>
  </si>
  <si>
    <t>Stainless Steel Coils, Strips &amp; Sheets</t>
  </si>
  <si>
    <t>Aluminium metal</t>
  </si>
  <si>
    <t>j. Castings</t>
  </si>
  <si>
    <t>Cast iron, castings</t>
  </si>
  <si>
    <t>Aluminium castings</t>
  </si>
  <si>
    <t>Jigs &amp; Fixture</t>
  </si>
  <si>
    <t>Iron/steel hinges</t>
  </si>
  <si>
    <t>Copper bolts, screws, nuts</t>
  </si>
  <si>
    <t>Laptops</t>
  </si>
  <si>
    <t>Colour TV</t>
  </si>
  <si>
    <t>Watch</t>
  </si>
  <si>
    <t>Cooling tower</t>
  </si>
  <si>
    <t>Rotor/magneto rotor assembly</t>
  </si>
  <si>
    <t>Amplifier</t>
  </si>
  <si>
    <t>Multimeter</t>
  </si>
  <si>
    <t>Solenoid valve</t>
  </si>
  <si>
    <t>Electric Wires &amp; Cables</t>
  </si>
  <si>
    <t>Aluminium wire</t>
  </si>
  <si>
    <t>Electrical ballast &amp; chokes</t>
  </si>
  <si>
    <t>Domestic gas stove</t>
  </si>
  <si>
    <t>Washing Machines/Laundry Machines</t>
  </si>
  <si>
    <t>Microwave oven</t>
  </si>
  <si>
    <t>Electric heaters</t>
  </si>
  <si>
    <t>Roller and ball bearings</t>
  </si>
  <si>
    <t>Chillers</t>
  </si>
  <si>
    <t>Harvesters</t>
  </si>
  <si>
    <t>Grinding or polishing machine</t>
  </si>
  <si>
    <t>Road roller</t>
  </si>
  <si>
    <t>Earth moving machinery</t>
  </si>
  <si>
    <t>Sugar Machinery</t>
  </si>
  <si>
    <t>Open end spinning machinery</t>
  </si>
  <si>
    <t>Moulding Machine</t>
  </si>
  <si>
    <t>Light, medium &amp; heavy commercial vehicles</t>
  </si>
  <si>
    <t>Engine</t>
  </si>
  <si>
    <t>Brake pad/brake liner/brake block/Brake rubber, others</t>
  </si>
  <si>
    <t>Chain</t>
  </si>
  <si>
    <t>Filter element</t>
  </si>
  <si>
    <t>Diesel/Electric locomotive</t>
  </si>
  <si>
    <t>Hospital furniture</t>
  </si>
  <si>
    <t>(V). OTHER MANUFACTURING</t>
  </si>
  <si>
    <t>Cricket Bat</t>
  </si>
  <si>
    <t>Jowar</t>
  </si>
  <si>
    <t>Ragi</t>
  </si>
  <si>
    <t>Rajma</t>
  </si>
  <si>
    <t>b.  FRUITS &amp; VEGETABLES</t>
  </si>
  <si>
    <t>Peas (Green)</t>
  </si>
  <si>
    <t>Brinjal</t>
  </si>
  <si>
    <t>Bottle gourd</t>
  </si>
  <si>
    <t>b2. FRUITS</t>
  </si>
  <si>
    <t>Banana</t>
  </si>
  <si>
    <t>Apple</t>
  </si>
  <si>
    <t>Pineapple</t>
  </si>
  <si>
    <t>Guava</t>
  </si>
  <si>
    <t>Lemon</t>
  </si>
  <si>
    <t>Sapota</t>
  </si>
  <si>
    <t>Pomengranate</t>
  </si>
  <si>
    <t>Walnut</t>
  </si>
  <si>
    <t>Egg</t>
  </si>
  <si>
    <t>Pork</t>
  </si>
  <si>
    <t>Betel Leaves</t>
  </si>
  <si>
    <t>Sugarcane</t>
  </si>
  <si>
    <t>Soyabean</t>
  </si>
  <si>
    <t>Gaur Seed</t>
  </si>
  <si>
    <t>(C).  MINERALS</t>
  </si>
  <si>
    <t>a.  METALLIC MINERALS</t>
  </si>
  <si>
    <t>Lead Concentrate</t>
  </si>
  <si>
    <t>II FUEL &amp; POWER</t>
  </si>
  <si>
    <t>Lignite</t>
  </si>
  <si>
    <t>Petroleum Coke</t>
  </si>
  <si>
    <t>Jams, jellies, marmalades and puree</t>
  </si>
  <si>
    <t>Sauces of Vegetables (Tomato, Chilli, Soya &amp; others)</t>
  </si>
  <si>
    <t>Mustard Oil</t>
  </si>
  <si>
    <t>Rice Bran Oil</t>
  </si>
  <si>
    <t>Rapeseed Oil</t>
  </si>
  <si>
    <t>Copra oil</t>
  </si>
  <si>
    <t>Butter</t>
  </si>
  <si>
    <t>Rice products</t>
  </si>
  <si>
    <t>Vegetable starch</t>
  </si>
  <si>
    <t>Bread, buns &amp; croissant</t>
  </si>
  <si>
    <t>Molasses</t>
  </si>
  <si>
    <t>Mustard oil cake</t>
  </si>
  <si>
    <t>Beer</t>
  </si>
  <si>
    <t>Viscose yarn</t>
  </si>
  <si>
    <t>Nylon rope</t>
  </si>
  <si>
    <t>Cordage/ropes/twines of jute and coir</t>
  </si>
  <si>
    <t>Trouser/pants made of cotton and/or man-made fibre</t>
  </si>
  <si>
    <t>Babies garments, knitted</t>
  </si>
  <si>
    <t>Athletic/sport shoes</t>
  </si>
  <si>
    <t>Canvas shoes</t>
  </si>
  <si>
    <t>Waterproof footwear</t>
  </si>
  <si>
    <t>Wooden splint</t>
  </si>
  <si>
    <t>Lamination wooden sheets/Veneer sheets</t>
  </si>
  <si>
    <t>Hard board</t>
  </si>
  <si>
    <t>Poster paper</t>
  </si>
  <si>
    <t>Corrugated paper board</t>
  </si>
  <si>
    <t>Duplex paper</t>
  </si>
  <si>
    <t>Map litho paper</t>
  </si>
  <si>
    <t xml:space="preserve">(I). PRINTING AND REPRODUCTION OF RECORDED MEDIA </t>
  </si>
  <si>
    <t>Sticker plastic</t>
  </si>
  <si>
    <t>Acetic acid and Its Derivatives</t>
  </si>
  <si>
    <t>Soda ash/washing soda</t>
  </si>
  <si>
    <t>Camphor</t>
  </si>
  <si>
    <t>Ammonium nitrate</t>
  </si>
  <si>
    <t>Catalysts</t>
  </si>
  <si>
    <t>Urea</t>
  </si>
  <si>
    <t>Polystyrene, expandable</t>
  </si>
  <si>
    <t>Varnish (all types)</t>
  </si>
  <si>
    <t>Printing ink</t>
  </si>
  <si>
    <t>Tooth paste/Tooth Powder</t>
  </si>
  <si>
    <t>Foundry chemical</t>
  </si>
  <si>
    <t>Organic chemicals</t>
  </si>
  <si>
    <t>Antipyretic, analgesic, anti-inflammatory formulations</t>
  </si>
  <si>
    <t>Antibiotics &amp; preparations thereof</t>
  </si>
  <si>
    <t>Sulpha drugs</t>
  </si>
  <si>
    <t>Antioxidants</t>
  </si>
  <si>
    <t>Rubberized dipped fabric</t>
  </si>
  <si>
    <t>Processed rubber</t>
  </si>
  <si>
    <t>Rubber Tread</t>
  </si>
  <si>
    <t>Rubber tubes- not for tyres</t>
  </si>
  <si>
    <t>Polyester film (non-metalized)</t>
  </si>
  <si>
    <t>Polythene film</t>
  </si>
  <si>
    <t>Plastic bottle</t>
  </si>
  <si>
    <t>Plastic components</t>
  </si>
  <si>
    <t>Tooth brush</t>
  </si>
  <si>
    <t>Toughened glass</t>
  </si>
  <si>
    <t>Opthalmic lens</t>
  </si>
  <si>
    <t>Plain bricks</t>
  </si>
  <si>
    <t>Porcelain crockery</t>
  </si>
  <si>
    <t>Granite</t>
  </si>
  <si>
    <t>Stone, chip</t>
  </si>
  <si>
    <t>Ferrosilicon</t>
  </si>
  <si>
    <t>Pig Iron</t>
  </si>
  <si>
    <t>Mild Steel (MS) Blooms</t>
  </si>
  <si>
    <t>MS Pencil Ingots</t>
  </si>
  <si>
    <t>Cold Rolled (CR) Coils &amp; Sheets, including Narrow Strip</t>
  </si>
  <si>
    <t>Lead ingots, bars, blocks, plates</t>
  </si>
  <si>
    <t>Aluminium alloys</t>
  </si>
  <si>
    <t>Steel forgings - rough</t>
  </si>
  <si>
    <t>Boilers</t>
  </si>
  <si>
    <t>Electrical stamping- Laminated or otherwise</t>
  </si>
  <si>
    <t>Aluminium utensils</t>
  </si>
  <si>
    <t>Steel door</t>
  </si>
  <si>
    <t>Steel drums and barrels</t>
  </si>
  <si>
    <t>UPS in Solid State Drives</t>
  </si>
  <si>
    <t>Modems</t>
  </si>
  <si>
    <t>Meter (non-electrical)</t>
  </si>
  <si>
    <t>Clock</t>
  </si>
  <si>
    <t>Microscope</t>
  </si>
  <si>
    <t>Sunglasses</t>
  </si>
  <si>
    <t>Electric switch gear control/starter</t>
  </si>
  <si>
    <t>Electrical relay/conductor</t>
  </si>
  <si>
    <t>Connector/plug/socket/holder-electric</t>
  </si>
  <si>
    <t>Light fitting accessories</t>
  </si>
  <si>
    <t>Insulator</t>
  </si>
  <si>
    <t>Steam Turbines</t>
  </si>
  <si>
    <t>Industrial valve</t>
  </si>
  <si>
    <t>Motor Starter</t>
  </si>
  <si>
    <t>Material handling, lifting and hoisting equipment</t>
  </si>
  <si>
    <t>Reprographic machine and scanners</t>
  </si>
  <si>
    <t>Air filters</t>
  </si>
  <si>
    <t>Filtration equipment</t>
  </si>
  <si>
    <t>Conveyors - non-roller type</t>
  </si>
  <si>
    <t>Oil pump</t>
  </si>
  <si>
    <t>Agricultural tractors</t>
  </si>
  <si>
    <t>Threshers</t>
  </si>
  <si>
    <t>Precision machinery equipment/Form tools</t>
  </si>
  <si>
    <t>Dumper</t>
  </si>
  <si>
    <t>Concrete vibrator &amp; mixture</t>
  </si>
  <si>
    <t>Separator</t>
  </si>
  <si>
    <t>Sewing Machines</t>
  </si>
  <si>
    <t>Windmill turbines (2500KW)</t>
  </si>
  <si>
    <t>Chassis of different vehicle types</t>
  </si>
  <si>
    <t>Piston ring/Piston and Compressor</t>
  </si>
  <si>
    <t>Crankshaft</t>
  </si>
  <si>
    <t>Silencer and Damper</t>
  </si>
  <si>
    <t>Steering gear control system</t>
  </si>
  <si>
    <t>Release valve</t>
  </si>
  <si>
    <t>Propellers &amp; Blades of Boats/Ships</t>
  </si>
  <si>
    <t>Railway brake gear</t>
  </si>
  <si>
    <t>Tanker</t>
  </si>
  <si>
    <t>Wooden furniture</t>
  </si>
  <si>
    <t>Plastic fixtures</t>
  </si>
  <si>
    <t>Foam and rubber mattress</t>
  </si>
  <si>
    <t>Silver</t>
  </si>
  <si>
    <t>Sports goods of rubber (incl. balls)</t>
  </si>
  <si>
    <t>Carrom board</t>
  </si>
  <si>
    <t>I    PRIMARY ARTICLES</t>
  </si>
  <si>
    <t>a1. CEREALS</t>
  </si>
  <si>
    <t>Wheat</t>
  </si>
  <si>
    <t>Maize</t>
  </si>
  <si>
    <t>Gram</t>
  </si>
  <si>
    <t>b1. VEGETABLES</t>
  </si>
  <si>
    <t>Sweet Potato</t>
  </si>
  <si>
    <t>Onion</t>
  </si>
  <si>
    <t>Ginger (Fresh)</t>
  </si>
  <si>
    <t>Tomato</t>
  </si>
  <si>
    <t>Bitter gourd</t>
  </si>
  <si>
    <t>Coconut (Fresh)</t>
  </si>
  <si>
    <t>Papaya</t>
  </si>
  <si>
    <t>Almonds</t>
  </si>
  <si>
    <t>c.  MILK</t>
  </si>
  <si>
    <t>e.  CONDIMENTS &amp; SPICES</t>
  </si>
  <si>
    <t>Chillies (Dry)</t>
  </si>
  <si>
    <t>Betelnut/Arecanut</t>
  </si>
  <si>
    <t>(B).  NON-FOOD ARTICLES</t>
  </si>
  <si>
    <t>Coir Fibre</t>
  </si>
  <si>
    <t>b.  OIL SEEDS</t>
  </si>
  <si>
    <t>Rape &amp; Mustard Seed</t>
  </si>
  <si>
    <t>Linseed</t>
  </si>
  <si>
    <t>Manganese Ore</t>
  </si>
  <si>
    <t>b.  OTHER MINERALS</t>
  </si>
  <si>
    <t>Sillimanite</t>
  </si>
  <si>
    <t>(A). COAL</t>
  </si>
  <si>
    <t>a. Coking Coal</t>
  </si>
  <si>
    <t>c.) Non-Coking Coal G15 to G17 [GCV &lt; 3100 Kcal/kg.]</t>
  </si>
  <si>
    <t>ATF</t>
  </si>
  <si>
    <t>HSD</t>
  </si>
  <si>
    <t>Furnace Oil</t>
  </si>
  <si>
    <t>Electricity</t>
  </si>
  <si>
    <t>Fruit Juice including concentrates</t>
  </si>
  <si>
    <t>Sunflower Oil</t>
  </si>
  <si>
    <t>Powder Milk</t>
  </si>
  <si>
    <t>Maida</t>
  </si>
  <si>
    <t>Sooji (rawa )</t>
  </si>
  <si>
    <t>Sugar confectionary</t>
  </si>
  <si>
    <t>Coffee powder with chicory</t>
  </si>
  <si>
    <t>Cotton seed oil cake</t>
  </si>
  <si>
    <t>Bottled Mineral water</t>
  </si>
  <si>
    <t>a. Preparation and spinning of textile fibres</t>
  </si>
  <si>
    <t>Cotton Yarn</t>
  </si>
  <si>
    <t>Texturised and twisted Yarn</t>
  </si>
  <si>
    <t>Tyre cord fabric</t>
  </si>
  <si>
    <t>Cardigans and pullovers, knitted</t>
  </si>
  <si>
    <t>Plastic/PVC Chappals</t>
  </si>
  <si>
    <t>a. Saw milling and planing of wood</t>
  </si>
  <si>
    <t>Wooden panel</t>
  </si>
  <si>
    <t>Base paper</t>
  </si>
  <si>
    <t>Card board</t>
  </si>
  <si>
    <t>Tissue paper</t>
  </si>
  <si>
    <t>Bristle paper board</t>
  </si>
  <si>
    <t>Pulp board</t>
  </si>
  <si>
    <t>Corrugated sheet box</t>
  </si>
  <si>
    <t>Card board box</t>
  </si>
  <si>
    <t>a. Printing</t>
  </si>
  <si>
    <t>Journal/periodical</t>
  </si>
  <si>
    <t>Printed form &amp; schedule</t>
  </si>
  <si>
    <t>Hologram (3D)</t>
  </si>
  <si>
    <t>Carbon Black</t>
  </si>
  <si>
    <t>Ethyl acetate</t>
  </si>
  <si>
    <t>Ethylene Oxide</t>
  </si>
  <si>
    <t>Ammonia gas</t>
  </si>
  <si>
    <t>Superphospate/Phosphatic fertilizer, others</t>
  </si>
  <si>
    <t>Polyethylene</t>
  </si>
  <si>
    <t>Insecticide and Pesticide</t>
  </si>
  <si>
    <t>Agro chemical formulation</t>
  </si>
  <si>
    <t>Fungicide, liquid</t>
  </si>
  <si>
    <t>Powder coating material</t>
  </si>
  <si>
    <t>Organic surface active agent</t>
  </si>
  <si>
    <t>Creams &amp; Lotions for External Application</t>
  </si>
  <si>
    <t>Mosquito coil</t>
  </si>
  <si>
    <t>Explosive</t>
  </si>
  <si>
    <t>Polyester fibre fabric</t>
  </si>
  <si>
    <t>Anti inflammatory preparation</t>
  </si>
  <si>
    <t>Ayurvedic medicaments</t>
  </si>
  <si>
    <t>Medical accessories</t>
  </si>
  <si>
    <t>Medium &amp; heavy commercial vehicle tyre</t>
  </si>
  <si>
    <t>Motor Car Tube</t>
  </si>
  <si>
    <t>Rubber cloth/sheet</t>
  </si>
  <si>
    <t>2/3 wheeler rubber tube</t>
  </si>
  <si>
    <t>Plastic box/container</t>
  </si>
  <si>
    <t>Plastic button</t>
  </si>
  <si>
    <t>Non ceramic tiles</t>
  </si>
  <si>
    <t>Clinker</t>
  </si>
  <si>
    <t>White cement</t>
  </si>
  <si>
    <t>Cement superfine</t>
  </si>
  <si>
    <t>Asbestos corrugated sheet</t>
  </si>
  <si>
    <t>Marble Slab</t>
  </si>
  <si>
    <t>Cement blocks (concrete)</t>
  </si>
  <si>
    <t>Ferromanganese</t>
  </si>
  <si>
    <t>Silicomanganese</t>
  </si>
  <si>
    <t>Rails</t>
  </si>
  <si>
    <t>Angles, Channels, Sections, steel (coated/not)</t>
  </si>
  <si>
    <t>Steel cables</t>
  </si>
  <si>
    <t>Alloy steel Wire rods</t>
  </si>
  <si>
    <t>h. Pipes &amp; tubes</t>
  </si>
  <si>
    <t>Stainless steel tubes</t>
  </si>
  <si>
    <t>Copper metal/Copper Rings</t>
  </si>
  <si>
    <t>Zinc metal/zinc blocks</t>
  </si>
  <si>
    <t>Aluminium shapes - bars/rods/flats</t>
  </si>
  <si>
    <t>Brass metal/sheet/coils</t>
  </si>
  <si>
    <t>Alloy steel castings</t>
  </si>
  <si>
    <t>k. Forgings of steel</t>
  </si>
  <si>
    <t>Steel pipes, tubes &amp; poles</t>
  </si>
  <si>
    <t>Mild steel (MS) flats &amp; sheets</t>
  </si>
  <si>
    <t>Cylinders</t>
  </si>
  <si>
    <t>Steel Container</t>
  </si>
  <si>
    <t>Stainless steel tank</t>
  </si>
  <si>
    <t>Forged Steel Rings</t>
  </si>
  <si>
    <t>Hand tools</t>
  </si>
  <si>
    <t>Personal Computer (P.C.)</t>
  </si>
  <si>
    <t>Computer peripherals</t>
  </si>
  <si>
    <t>Telephone sets including mobile hand sets</t>
  </si>
  <si>
    <t>Air conditioner</t>
  </si>
  <si>
    <t>Scientific time keeping device</t>
  </si>
  <si>
    <t>Generator parts</t>
  </si>
  <si>
    <t>Electrical resistors (except heating resistors)</t>
  </si>
  <si>
    <t>Electric accumulators</t>
  </si>
  <si>
    <t>Batteries</t>
  </si>
  <si>
    <t>Fibre Optic Cables</t>
  </si>
  <si>
    <t>PVC Insulated Cable</t>
  </si>
  <si>
    <t>Jelly Filled Cables</t>
  </si>
  <si>
    <t>Aluminium/Alloy Conductor</t>
  </si>
  <si>
    <t>Rubber Insulated Cables</t>
  </si>
  <si>
    <t>Flourescent tube</t>
  </si>
  <si>
    <t>Refrigerators</t>
  </si>
  <si>
    <t>Electric Mixers/Grinders/Food Processors</t>
  </si>
  <si>
    <t>Geyser</t>
  </si>
  <si>
    <t>Motors &amp; other DC equipment</t>
  </si>
  <si>
    <t>Pneumatic tools</t>
  </si>
  <si>
    <t>Centrifugal Pumps</t>
  </si>
  <si>
    <t>Pump sets without motor</t>
  </si>
  <si>
    <t>Air or vacuum pump</t>
  </si>
  <si>
    <t>Air gas compressor including compressor for refrigerator</t>
  </si>
  <si>
    <t>Gasket kit</t>
  </si>
  <si>
    <t>Clutches and shaft couplings</t>
  </si>
  <si>
    <t>Cranes</t>
  </si>
  <si>
    <t>Hydraulic equipment</t>
  </si>
  <si>
    <t>Drilling Machine</t>
  </si>
  <si>
    <t>Rice mill machinery</t>
  </si>
  <si>
    <t>Pharmaceutical Machinery</t>
  </si>
  <si>
    <t>Solar power system (solar panel &amp; attachable equipment)</t>
  </si>
  <si>
    <t>Minibus/bus</t>
  </si>
  <si>
    <t>Body (for commercial motor vehicles)</t>
  </si>
  <si>
    <t>Wheels/Wheels &amp; parts</t>
  </si>
  <si>
    <t>Radiators &amp; coolers</t>
  </si>
  <si>
    <t>Head lamp</t>
  </si>
  <si>
    <t>Gear box and parts</t>
  </si>
  <si>
    <t>a. Building of ships and floating structures</t>
  </si>
  <si>
    <t>EMU coaches</t>
  </si>
  <si>
    <t>Motor cycles</t>
  </si>
  <si>
    <t>Scooters</t>
  </si>
  <si>
    <t>Bicycles of all types</t>
  </si>
  <si>
    <t>Gold &amp; gold ornaments</t>
  </si>
  <si>
    <t>Table Tennis Table</t>
  </si>
  <si>
    <t>Plastic moulded-others toys</t>
  </si>
  <si>
    <t>Non Mechanical Toys</t>
  </si>
  <si>
    <t>WPI</t>
  </si>
  <si>
    <t>Apr</t>
  </si>
  <si>
    <t>May</t>
  </si>
  <si>
    <t>Jun</t>
  </si>
  <si>
    <t>Jul</t>
  </si>
  <si>
    <t>Aug</t>
  </si>
  <si>
    <t>Sep</t>
  </si>
  <si>
    <t>Oct</t>
  </si>
  <si>
    <t>Nov</t>
  </si>
  <si>
    <t>Dec</t>
  </si>
  <si>
    <t>Jan</t>
  </si>
  <si>
    <t>Feb</t>
  </si>
  <si>
    <t>Mar</t>
  </si>
  <si>
    <t>Year</t>
  </si>
  <si>
    <t>2022-Jan</t>
  </si>
  <si>
    <t>2022-Feb</t>
  </si>
  <si>
    <t>2022-Mar</t>
  </si>
  <si>
    <t>2022-Apr</t>
  </si>
  <si>
    <t>2022-May</t>
  </si>
  <si>
    <t>2022-Jun</t>
  </si>
  <si>
    <t>2022-Jul</t>
  </si>
  <si>
    <t>2022-Aug</t>
  </si>
  <si>
    <t>2022-Sep</t>
  </si>
  <si>
    <t>2022-Oct</t>
  </si>
  <si>
    <t>2022-Nov</t>
  </si>
  <si>
    <t>2022-Dec</t>
  </si>
  <si>
    <t>2023-Jan</t>
  </si>
  <si>
    <t>2023-Feb</t>
  </si>
  <si>
    <t>2023-Mar</t>
  </si>
  <si>
    <t>2023-Apr</t>
  </si>
  <si>
    <t>2023-May</t>
  </si>
  <si>
    <t>2023-Jun</t>
  </si>
  <si>
    <t>2023-Jul</t>
  </si>
  <si>
    <t>2023-Aug</t>
  </si>
  <si>
    <t>2023-Sep</t>
  </si>
  <si>
    <t>2023-Oct</t>
  </si>
  <si>
    <t>date</t>
  </si>
  <si>
    <t>Row Labels</t>
  </si>
  <si>
    <t>Grand Total</t>
  </si>
  <si>
    <t>category/commodity</t>
  </si>
  <si>
    <t>Commodity</t>
  </si>
  <si>
    <t>Value</t>
  </si>
  <si>
    <t>category</t>
  </si>
  <si>
    <t>value</t>
  </si>
  <si>
    <t>(N). Mfg OF BASIC METALS</t>
  </si>
  <si>
    <t>e. Mfg of dairy products</t>
  </si>
  <si>
    <t>f. Mfg of grain mill products</t>
  </si>
  <si>
    <t>j. Mfg of cocoa, chocolate and sugar confectionery</t>
  </si>
  <si>
    <t>n. Mfg of processed ready to eat food</t>
  </si>
  <si>
    <t>p. Mfg of prepared animal feeds</t>
  </si>
  <si>
    <t>b. Mfg of malt liquors and malt</t>
  </si>
  <si>
    <t>(D). Mfg OF TEXTILES</t>
  </si>
  <si>
    <t>d. Mfg of made-up textile articles, except apparel</t>
  </si>
  <si>
    <t xml:space="preserve">(G). Mfg OF WOOD AND OF PRODUCTS OF WOOD AND CORK  </t>
  </si>
  <si>
    <t>a. Mfg of pulp, paper and paperboard</t>
  </si>
  <si>
    <t>(L). Mfg OF RUBBER AND PLASTICS PRODUCTS</t>
  </si>
  <si>
    <t>b. Mfg of other rubber products</t>
  </si>
  <si>
    <t>(M). Mfg OF OTHER NON-METALLIC MINERAL PRODUCTS</t>
  </si>
  <si>
    <t>b. Mfg of computers and peripheral equipment</t>
  </si>
  <si>
    <t>f. Mfg of watches and clocks</t>
  </si>
  <si>
    <t>(Q). Mfg OF ELECTRICAL EQUIPMENT</t>
  </si>
  <si>
    <t>e. Mfg of ovens, furnaces and furnace burners</t>
  </si>
  <si>
    <t>h. Mfg of other general-purpose machinery</t>
  </si>
  <si>
    <t>(T). Mfg OF OTHER TRANSPORT EQUIPMENT</t>
  </si>
  <si>
    <t>b. Mfg of railway locomotives and rolling stock</t>
  </si>
  <si>
    <t>c. Mfg of motor cycles</t>
  </si>
  <si>
    <t>d. Mfg of bicycles and invalid carriages</t>
  </si>
  <si>
    <t>e. Mfg of medical and dental instruments and supplies</t>
  </si>
  <si>
    <t>III   MfgD PRODUCTS</t>
  </si>
  <si>
    <t>i. Mfg of sugar, molasses &amp; honey</t>
  </si>
  <si>
    <t>m. Mfg of Processed condiments &amp; salt</t>
  </si>
  <si>
    <t>o. Mfg of Health supplements</t>
  </si>
  <si>
    <t>(B). Mfg OF BEVERAGES</t>
  </si>
  <si>
    <t>(E). Mfg OF WEARING APPAREL</t>
  </si>
  <si>
    <t>a. Mfg of wearing apparel (woven), except fur apparel</t>
  </si>
  <si>
    <t>(F). Mfg OF LEATHER AND RELATED PRODUCTS</t>
  </si>
  <si>
    <t>a. Mfg of basic chemicals</t>
  </si>
  <si>
    <t>c. Mfg of plastic and synthetic rubber in primary form</t>
  </si>
  <si>
    <t>h. Mfg of other non-metallic mineral products</t>
  </si>
  <si>
    <t>b. Mfg of fluid power equipment</t>
  </si>
  <si>
    <t>c. Mfg of other pumps, compressors, taps and valves</t>
  </si>
  <si>
    <t>g. Mfg of office machinery and equipment</t>
  </si>
  <si>
    <t>i. Mfg of agricultural and forestry machinery</t>
  </si>
  <si>
    <t>o. Mfg of renewable electricity generating equipment</t>
  </si>
  <si>
    <t>a. Mfg of motor vehicles</t>
  </si>
  <si>
    <t>b. Mfg of parts and accessories for motor vehicles</t>
  </si>
  <si>
    <t>e. Mfg of other transport equipment</t>
  </si>
  <si>
    <t>a. Mfg of furniture</t>
  </si>
  <si>
    <t>a. Mfg of jewellery and related articles</t>
  </si>
  <si>
    <t>l. Mfg of Tea &amp; Coffee products</t>
  </si>
  <si>
    <t>a. Mfg of wines &amp; spirits</t>
  </si>
  <si>
    <t>e. Mfg of cordage, rope, twine and netting</t>
  </si>
  <si>
    <t>b. Mfg of luggage, handbags, saddlery and harness</t>
  </si>
  <si>
    <t>c. Mfg of footwear</t>
  </si>
  <si>
    <t>c. Mfg of builders carpentry and joinery</t>
  </si>
  <si>
    <t>b. Mfg of fertilizers and nitrogen compounds</t>
  </si>
  <si>
    <t>d. Mfg of pesticides and other agrochemical products</t>
  </si>
  <si>
    <t>g. Mfg of other chemical products</t>
  </si>
  <si>
    <t>a. Mfg of glass and glass products</t>
  </si>
  <si>
    <t>e. Mfg of cement, lime and plaster</t>
  </si>
  <si>
    <t>d. Mfg of consumer electronics</t>
  </si>
  <si>
    <t>b. Mfg of batteries and accumulators</t>
  </si>
  <si>
    <t>n. Mfg of other special-purpose machinery</t>
  </si>
  <si>
    <t>d. Mfg of games and toys</t>
  </si>
  <si>
    <t>g. Mfg of starches and starch products</t>
  </si>
  <si>
    <t>h. Mfg of bakery products</t>
  </si>
  <si>
    <t>(C). Mfg OF TOBACCO PRODUCTS</t>
  </si>
  <si>
    <t>a. Mfg of tobacco products</t>
  </si>
  <si>
    <t>f. Mfg of other textiles</t>
  </si>
  <si>
    <t>h. Mfg of man-made fibres</t>
  </si>
  <si>
    <t>b. Mfg of refractory products</t>
  </si>
  <si>
    <t>d. Mfg of other porcelain and ceramic products</t>
  </si>
  <si>
    <t>a. Mfg of structural metal products</t>
  </si>
  <si>
    <t>e. Mfg of cutlery, hand tools and general hardware</t>
  </si>
  <si>
    <t>(P). Mfg OF COMPUTER, ELECTRONIC AND OPTICAL PRODUCTS</t>
  </si>
  <si>
    <t>a. Mfg of electronic components</t>
  </si>
  <si>
    <t>d. Mfg of bearings, gears, gearing and driving elements</t>
  </si>
  <si>
    <t>c. Mfg of sports goods</t>
  </si>
  <si>
    <t>(A). Mfg OF FOOD PRODUCTS</t>
  </si>
  <si>
    <t>d. Mfg of vegetable and animal oils and fats</t>
  </si>
  <si>
    <t>c. Mfg of knitted and crocheted fabrics</t>
  </si>
  <si>
    <t>b. Mfg of knitted and crocheted apparel</t>
  </si>
  <si>
    <t>d. Mfg of wooden containers</t>
  </si>
  <si>
    <t>(H). Mfg OF PAPER AND PAPER PRODUCTS</t>
  </si>
  <si>
    <t>c. Mfg of other articles of paper and paperboard</t>
  </si>
  <si>
    <t>(J). Mfg OF CHEMICALS AND CHEMICAL PRODUCTS</t>
  </si>
  <si>
    <t>c. Mfg of plastics products</t>
  </si>
  <si>
    <t>c. Mfg of clay building materials</t>
  </si>
  <si>
    <t>f. Mfg of articles of concrete, cement and plaster</t>
  </si>
  <si>
    <t>i. Mfg of non-ferrous metals incl. precious metals</t>
  </si>
  <si>
    <t>b. Mfg of tanks, reservoirs and containers of metal</t>
  </si>
  <si>
    <t>f. Mfg of other fabricated metal products</t>
  </si>
  <si>
    <t>c. Mfg of communication equipment</t>
  </si>
  <si>
    <t>f. Mfg of domestic appliances</t>
  </si>
  <si>
    <t>g. Mfg of other electrical equipment</t>
  </si>
  <si>
    <t>(R). Mfg OF MACHINERY AND EQUIPMENT</t>
  </si>
  <si>
    <t>f. Mfg of lifting and handling equipment</t>
  </si>
  <si>
    <t>j. Mfg of metal-forming machinery and machine tools</t>
  </si>
  <si>
    <t>(S). Mfg OF MOTOR VEHICLES, TRAILERS AND SEMI-TRAILERS</t>
  </si>
  <si>
    <t>(U). Mfg OF FURNITURE</t>
  </si>
  <si>
    <t>b. Mfg of musical instruments</t>
  </si>
  <si>
    <t>MFG. PRODUCTS</t>
  </si>
  <si>
    <t>FUEL &amp; POWER</t>
  </si>
  <si>
    <t>PRIMARY ARTICLES</t>
  </si>
  <si>
    <t>LAST MONTH ANALYSIS</t>
  </si>
  <si>
    <t>Time series analysis</t>
  </si>
  <si>
    <t>Commodities</t>
  </si>
  <si>
    <t>Category</t>
  </si>
  <si>
    <t>Avg Value</t>
  </si>
  <si>
    <t>Time period</t>
  </si>
  <si>
    <t>Automobile Mfg.</t>
  </si>
  <si>
    <t>Fruits &amp; Veggies</t>
  </si>
  <si>
    <t>Food Grains</t>
  </si>
  <si>
    <t>Machinery Mfg.</t>
  </si>
  <si>
    <t>2022</t>
  </si>
  <si>
    <t>2023</t>
  </si>
  <si>
    <t>Date</t>
  </si>
  <si>
    <t>Food Products Mfg.</t>
  </si>
  <si>
    <t>Basic Metals Mfg.</t>
  </si>
  <si>
    <t>Mineral Oils Mfg.</t>
  </si>
  <si>
    <t>Chemicals &amp; Chemical Products Mfg.</t>
  </si>
  <si>
    <t>Milk Production</t>
  </si>
  <si>
    <t>Textile Mfg.</t>
  </si>
  <si>
    <t>Non-food articles</t>
  </si>
  <si>
    <t>Mfg Sector</t>
  </si>
  <si>
    <t>Fuel Sector</t>
  </si>
  <si>
    <t>Primary Articles Sector</t>
  </si>
  <si>
    <t>LAST MONTH INFLATION DRIVER ANALYSIS</t>
  </si>
  <si>
    <t>MEDIUM TERM TREND ANALYSIS</t>
  </si>
  <si>
    <t>Methodology</t>
  </si>
  <si>
    <t>Step1</t>
  </si>
  <si>
    <t>Step2</t>
  </si>
  <si>
    <t>Step3</t>
  </si>
  <si>
    <t>Obtain last month WPI of each commodity</t>
  </si>
  <si>
    <t>Separate Categories from Commodties</t>
  </si>
  <si>
    <t>Create Charts</t>
  </si>
  <si>
    <t>WPI MoM</t>
  </si>
  <si>
    <t>WPI YoY</t>
  </si>
  <si>
    <t>WPI MoM %</t>
  </si>
  <si>
    <t>WPI values</t>
  </si>
  <si>
    <t>WPI Values</t>
  </si>
  <si>
    <t>WPI YoY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</si>
</sst>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
  </numFmts>
  <fonts count="7" x14ac:knownFonts="1">
    <font>
      <sz val="11"/>
      <color theme="1"/>
      <name val="Aptos Narrow"/>
      <family val="2"/>
      <scheme val="minor"/>
    </font>
    <font>
      <sz val="11"/>
      <color theme="1"/>
      <name val="Aptos Narrow"/>
      <family val="2"/>
      <scheme val="minor"/>
    </font>
    <font>
      <sz val="11"/>
      <color rgb="FF9C5700"/>
      <name val="Aptos Narrow"/>
      <family val="2"/>
      <scheme val="minor"/>
    </font>
    <font>
      <b/>
      <sz val="11"/>
      <color rgb="FFFA7D00"/>
      <name val="Aptos Narrow"/>
      <family val="2"/>
      <scheme val="minor"/>
    </font>
    <font>
      <b/>
      <sz val="11"/>
      <color theme="1"/>
      <name val="Aptos Narrow"/>
      <family val="2"/>
      <scheme val="minor"/>
    </font>
    <font>
      <sz val="8"/>
      <name val="Aptos Narrow"/>
      <family val="2"/>
      <scheme val="minor"/>
    </font>
    <font>
      <b/>
      <sz val="11"/>
      <color rgb="FF9C5700"/>
      <name val="Aptos Narrow"/>
      <family val="2"/>
      <scheme val="minor"/>
    </font>
  </fonts>
  <fills count="6">
    <fill>
      <patternFill patternType="none"/>
    </fill>
    <fill>
      <patternFill patternType="gray125"/>
    </fill>
    <fill>
      <patternFill patternType="solid">
        <fgColor rgb="FFFFEB9C"/>
      </patternFill>
    </fill>
    <fill>
      <patternFill patternType="solid">
        <fgColor rgb="FFF2F2F2"/>
      </patternFill>
    </fill>
    <fill>
      <patternFill patternType="solid">
        <fgColor theme="6" tint="0.79998168889431442"/>
        <bgColor indexed="65"/>
      </patternFill>
    </fill>
    <fill>
      <patternFill patternType="solid">
        <fgColor theme="9" tint="0.79998168889431442"/>
        <bgColor theme="9" tint="0.79998168889431442"/>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2" fillId="2" borderId="0" applyNumberFormat="0" applyBorder="0" applyAlignment="0" applyProtection="0"/>
    <xf numFmtId="0" fontId="3" fillId="3" borderId="1" applyNumberFormat="0" applyAlignment="0" applyProtection="0"/>
    <xf numFmtId="0" fontId="1" fillId="4" borderId="0" applyNumberFormat="0" applyBorder="0" applyAlignment="0" applyProtection="0"/>
  </cellStyleXfs>
  <cellXfs count="42">
    <xf numFmtId="0" fontId="0" fillId="0" borderId="0" xfId="0"/>
    <xf numFmtId="14" fontId="0" fillId="0" borderId="0" xfId="0" applyNumberFormat="1"/>
    <xf numFmtId="0" fontId="0" fillId="0" borderId="0" xfId="0" applyNumberFormat="1"/>
    <xf numFmtId="0" fontId="0" fillId="5" borderId="3" xfId="0" applyFont="1" applyFill="1" applyBorder="1"/>
    <xf numFmtId="0" fontId="0" fillId="0" borderId="3" xfId="0" applyFont="1" applyBorder="1"/>
    <xf numFmtId="0" fontId="0" fillId="0" borderId="0" xfId="0" pivotButton="1"/>
    <xf numFmtId="0" fontId="0" fillId="0" borderId="0" xfId="0" applyAlignment="1">
      <alignment horizontal="left"/>
    </xf>
    <xf numFmtId="0" fontId="0" fillId="5" borderId="2" xfId="0" applyNumberFormat="1" applyFont="1" applyFill="1" applyBorder="1"/>
    <xf numFmtId="0" fontId="0" fillId="0" borderId="2" xfId="0" applyNumberFormat="1" applyFont="1" applyBorder="1"/>
    <xf numFmtId="0" fontId="4" fillId="0" borderId="4" xfId="0" applyFont="1" applyBorder="1"/>
    <xf numFmtId="0" fontId="4" fillId="0" borderId="5" xfId="0" applyFont="1" applyBorder="1"/>
    <xf numFmtId="0" fontId="4" fillId="0" borderId="0" xfId="0" applyFont="1" applyAlignment="1">
      <alignment horizontal="center"/>
    </xf>
    <xf numFmtId="0" fontId="0" fillId="0" borderId="0" xfId="0" applyAlignment="1">
      <alignment horizontal="left" indent="1"/>
    </xf>
    <xf numFmtId="0" fontId="1" fillId="4" borderId="2" xfId="3" applyNumberFormat="1" applyBorder="1"/>
    <xf numFmtId="0" fontId="1" fillId="4" borderId="3" xfId="3" applyBorder="1"/>
    <xf numFmtId="0" fontId="4" fillId="4" borderId="4" xfId="3" applyFont="1" applyBorder="1"/>
    <xf numFmtId="0" fontId="4" fillId="4" borderId="5" xfId="3" applyFont="1" applyBorder="1"/>
    <xf numFmtId="0" fontId="0" fillId="0" borderId="0" xfId="0" applyFill="1"/>
    <xf numFmtId="0" fontId="3" fillId="0" borderId="1" xfId="2" applyFill="1"/>
    <xf numFmtId="14" fontId="3" fillId="0" borderId="1" xfId="2" applyNumberFormat="1" applyFill="1"/>
    <xf numFmtId="0" fontId="0" fillId="0" borderId="0" xfId="0" applyFill="1" applyAlignment="1">
      <alignment horizontal="left"/>
    </xf>
    <xf numFmtId="0" fontId="0" fillId="0" borderId="0" xfId="0" applyNumberFormat="1" applyFill="1"/>
    <xf numFmtId="0" fontId="0" fillId="0" borderId="0" xfId="0" applyFill="1" applyAlignment="1">
      <alignment horizontal="left" indent="1"/>
    </xf>
    <xf numFmtId="0" fontId="6" fillId="0" borderId="4" xfId="1" applyFont="1" applyFill="1" applyBorder="1" applyAlignment="1">
      <alignment horizontal="center" vertical="center" wrapText="1"/>
    </xf>
    <xf numFmtId="0" fontId="6" fillId="0" borderId="5" xfId="1" applyFont="1" applyFill="1" applyBorder="1" applyAlignment="1">
      <alignment horizontal="center" vertical="center" wrapText="1"/>
    </xf>
    <xf numFmtId="0" fontId="6" fillId="0" borderId="0" xfId="1" applyFont="1" applyFill="1" applyBorder="1" applyAlignment="1">
      <alignment vertical="center" wrapText="1"/>
    </xf>
    <xf numFmtId="0" fontId="2" fillId="0" borderId="7" xfId="1" applyFill="1" applyBorder="1"/>
    <xf numFmtId="0" fontId="2" fillId="0" borderId="8" xfId="1" applyFill="1" applyBorder="1" applyAlignment="1"/>
    <xf numFmtId="0" fontId="2" fillId="0" borderId="0" xfId="1" applyFill="1" applyBorder="1"/>
    <xf numFmtId="0" fontId="2" fillId="0" borderId="9" xfId="1" applyFill="1" applyBorder="1"/>
    <xf numFmtId="0" fontId="2" fillId="0" borderId="11" xfId="1" applyFill="1" applyBorder="1" applyAlignment="1"/>
    <xf numFmtId="2" fontId="0" fillId="0" borderId="0" xfId="0" applyNumberFormat="1"/>
    <xf numFmtId="167" fontId="0" fillId="0" borderId="0" xfId="0" applyNumberFormat="1"/>
    <xf numFmtId="14" fontId="1" fillId="4" borderId="7" xfId="3" applyNumberFormat="1" applyBorder="1"/>
    <xf numFmtId="0" fontId="1" fillId="4" borderId="0" xfId="3" applyBorder="1"/>
    <xf numFmtId="0" fontId="1" fillId="4" borderId="8" xfId="3" applyBorder="1"/>
    <xf numFmtId="14" fontId="1" fillId="4" borderId="9" xfId="3" applyNumberFormat="1" applyBorder="1"/>
    <xf numFmtId="0" fontId="1" fillId="4" borderId="10" xfId="3" applyBorder="1"/>
    <xf numFmtId="0" fontId="1" fillId="4" borderId="11" xfId="3" applyBorder="1"/>
    <xf numFmtId="0" fontId="1" fillId="4" borderId="7" xfId="3" applyBorder="1"/>
    <xf numFmtId="0" fontId="1" fillId="4" borderId="9" xfId="3" applyBorder="1"/>
    <xf numFmtId="0" fontId="4" fillId="4" borderId="6" xfId="3" applyFont="1" applyBorder="1"/>
  </cellXfs>
  <cellStyles count="4">
    <cellStyle name="20% - Accent3" xfId="3" builtinId="38"/>
    <cellStyle name="Calculation" xfId="2" builtinId="22"/>
    <cellStyle name="Neutral" xfId="1" builtinId="28"/>
    <cellStyle name="Normal" xfId="0" builtinId="0"/>
  </cellStyles>
  <dxfs count="24">
    <dxf>
      <numFmt numFmtId="167" formatCode="0.000"/>
    </dxf>
    <dxf>
      <numFmt numFmtId="167" formatCode="0.000"/>
    </dxf>
    <dxf>
      <numFmt numFmtId="0" formatCode="General"/>
    </dxf>
    <dxf>
      <numFmt numFmtId="19" formatCode="dd/mm/yyyy"/>
    </dxf>
    <dxf>
      <numFmt numFmtId="2" formatCode="0.00"/>
    </dxf>
    <dxf>
      <numFmt numFmtId="2" formatCode="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9C0006"/>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Last month -</a:t>
            </a:r>
            <a:r>
              <a:rPr lang="en-US" baseline="0"/>
              <a:t> inflation categories</a:t>
            </a:r>
            <a:endParaRPr lang="en-US"/>
          </a:p>
        </c:rich>
      </c:tx>
      <c:layout>
        <c:manualLayout>
          <c:xMode val="edge"/>
          <c:yMode val="edge"/>
          <c:x val="0.13960698938006522"/>
          <c:y val="4.3918937092558681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'Q1-data'!$E$845</c:f>
              <c:strCache>
                <c:ptCount val="1"/>
                <c:pt idx="0">
                  <c:v>value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035-4B5E-A1D1-DFFDB1E4E99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035-4B5E-A1D1-DFFDB1E4E99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035-4B5E-A1D1-DFFDB1E4E9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'Q1-data'!$D$846:$D$848</c:f>
              <c:strCache>
                <c:ptCount val="3"/>
                <c:pt idx="0">
                  <c:v>MFG. PRODUCTS</c:v>
                </c:pt>
                <c:pt idx="1">
                  <c:v>PRIMARY ARTICLES</c:v>
                </c:pt>
                <c:pt idx="2">
                  <c:v>FUEL &amp; POWER</c:v>
                </c:pt>
              </c:strCache>
            </c:strRef>
          </c:cat>
          <c:val>
            <c:numRef>
              <c:f>'Q1-data'!$E$846:$E$848</c:f>
              <c:numCache>
                <c:formatCode>General</c:formatCode>
                <c:ptCount val="3"/>
                <c:pt idx="0">
                  <c:v>8713.01</c:v>
                </c:pt>
                <c:pt idx="1">
                  <c:v>3913.2</c:v>
                </c:pt>
                <c:pt idx="2">
                  <c:v>1923.91</c:v>
                </c:pt>
              </c:numCache>
            </c:numRef>
          </c:val>
          <c:extLst>
            <c:ext xmlns:c16="http://schemas.microsoft.com/office/drawing/2014/chart" uri="{C3380CC4-5D6E-409C-BE32-E72D297353CC}">
              <c16:uniqueId val="{00000006-D035-4B5E-A1D1-DFFDB1E4E99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LAST MONTH TOP INFLATION</a:t>
            </a:r>
            <a:r>
              <a:rPr lang="en-IN" b="1" baseline="0"/>
              <a:t> DRIVERS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cat>
            <c:strRef>
              <c:f>'Q1-data'!$A$846:$A$855</c:f>
              <c:strCache>
                <c:ptCount val="10"/>
                <c:pt idx="0">
                  <c:v>(A). Mfg OF FOOD PRODUCTS</c:v>
                </c:pt>
                <c:pt idx="1">
                  <c:v>(N). Mfg OF BASIC METALS</c:v>
                </c:pt>
                <c:pt idx="2">
                  <c:v>(B). MINERAL OILS</c:v>
                </c:pt>
                <c:pt idx="3">
                  <c:v>(J). Mfg OF CHEMICALS AND CHEMICAL PRODUCTS</c:v>
                </c:pt>
                <c:pt idx="4">
                  <c:v>Milk</c:v>
                </c:pt>
                <c:pt idx="5">
                  <c:v>(D). Mfg OF TEXTILES</c:v>
                </c:pt>
                <c:pt idx="6">
                  <c:v>a.  FOOD GRAINS (CEREALS+PULSES)</c:v>
                </c:pt>
                <c:pt idx="7">
                  <c:v>(S). Mfg OF MOTOR VEHICLES, TRAILERS AND SEMI-TRAILERS</c:v>
                </c:pt>
                <c:pt idx="8">
                  <c:v>(B).  NON-FOOD ARTICLES</c:v>
                </c:pt>
                <c:pt idx="9">
                  <c:v>b.  FRUITS &amp; VEGETABLES</c:v>
                </c:pt>
              </c:strCache>
            </c:strRef>
          </c:cat>
          <c:val>
            <c:numRef>
              <c:f>'Q1-data'!$B$846:$B$855</c:f>
              <c:numCache>
                <c:formatCode>General</c:formatCode>
                <c:ptCount val="10"/>
                <c:pt idx="0">
                  <c:v>1390.31</c:v>
                </c:pt>
                <c:pt idx="1">
                  <c:v>1295.28</c:v>
                </c:pt>
                <c:pt idx="2">
                  <c:v>1183.8699999999999</c:v>
                </c:pt>
                <c:pt idx="3">
                  <c:v>836.29</c:v>
                </c:pt>
                <c:pt idx="4">
                  <c:v>761.26</c:v>
                </c:pt>
                <c:pt idx="5">
                  <c:v>652.21</c:v>
                </c:pt>
                <c:pt idx="6">
                  <c:v>652.16999999999996</c:v>
                </c:pt>
                <c:pt idx="7">
                  <c:v>644.79999999999995</c:v>
                </c:pt>
                <c:pt idx="8">
                  <c:v>628.17999999999995</c:v>
                </c:pt>
                <c:pt idx="9">
                  <c:v>620.25</c:v>
                </c:pt>
              </c:numCache>
            </c:numRef>
          </c:val>
          <c:extLst>
            <c:ext xmlns:c16="http://schemas.microsoft.com/office/drawing/2014/chart" uri="{C3380CC4-5D6E-409C-BE32-E72D297353CC}">
              <c16:uniqueId val="{00000000-D462-4144-82CE-DFAE70AB0EC8}"/>
            </c:ext>
          </c:extLst>
        </c:ser>
        <c:dLbls>
          <c:showLegendKey val="0"/>
          <c:showVal val="0"/>
          <c:showCatName val="0"/>
          <c:showSerName val="0"/>
          <c:showPercent val="0"/>
          <c:showBubbleSize val="0"/>
        </c:dLbls>
        <c:gapWidth val="182"/>
        <c:axId val="1113187727"/>
        <c:axId val="1113190127"/>
      </c:barChart>
      <c:catAx>
        <c:axId val="111318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90127"/>
        <c:crosses val="autoZero"/>
        <c:auto val="1"/>
        <c:lblAlgn val="ctr"/>
        <c:lblOffset val="100"/>
        <c:noMultiLvlLbl val="0"/>
      </c:catAx>
      <c:valAx>
        <c:axId val="1113190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8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[anurag_excel_analysis.xlsx]Q1 - analysis!Q1-commodity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Time Trend Analysis Of Commodities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'Q1 - analysis'!$Q$26</c:f>
              <c:strCache>
                <c:ptCount val="1"/>
                <c:pt idx="0">
                  <c:v>Food Products Mfg.</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analysis'!$Q$27:$Q$51</c:f>
              <c:numCache>
                <c:formatCode>General</c:formatCode>
                <c:ptCount val="22"/>
                <c:pt idx="0">
                  <c:v>1356.59</c:v>
                </c:pt>
                <c:pt idx="1">
                  <c:v>1387.71</c:v>
                </c:pt>
                <c:pt idx="2">
                  <c:v>1432.67</c:v>
                </c:pt>
                <c:pt idx="3">
                  <c:v>1468.99</c:v>
                </c:pt>
                <c:pt idx="4">
                  <c:v>1476.77</c:v>
                </c:pt>
                <c:pt idx="5">
                  <c:v>1461.21</c:v>
                </c:pt>
                <c:pt idx="6">
                  <c:v>1437.86</c:v>
                </c:pt>
                <c:pt idx="7">
                  <c:v>1441.32</c:v>
                </c:pt>
                <c:pt idx="8">
                  <c:v>1411.92</c:v>
                </c:pt>
                <c:pt idx="9">
                  <c:v>1415.38</c:v>
                </c:pt>
                <c:pt idx="10">
                  <c:v>1423.16</c:v>
                </c:pt>
                <c:pt idx="11">
                  <c:v>1414.52</c:v>
                </c:pt>
                <c:pt idx="12">
                  <c:v>1410.19</c:v>
                </c:pt>
                <c:pt idx="13">
                  <c:v>1399.82</c:v>
                </c:pt>
                <c:pt idx="14">
                  <c:v>1390.31</c:v>
                </c:pt>
                <c:pt idx="15">
                  <c:v>1387.71</c:v>
                </c:pt>
                <c:pt idx="16">
                  <c:v>1373.88</c:v>
                </c:pt>
                <c:pt idx="17">
                  <c:v>1373.01</c:v>
                </c:pt>
                <c:pt idx="18">
                  <c:v>1382.53</c:v>
                </c:pt>
                <c:pt idx="19">
                  <c:v>1390.31</c:v>
                </c:pt>
                <c:pt idx="20">
                  <c:v>1386.85</c:v>
                </c:pt>
                <c:pt idx="21">
                  <c:v>1390.31</c:v>
                </c:pt>
              </c:numCache>
            </c:numRef>
          </c:val>
          <c:smooth val="0"/>
          <c:extLst>
            <c:ext xmlns:c16="http://schemas.microsoft.com/office/drawing/2014/chart" uri="{C3380CC4-5D6E-409C-BE32-E72D297353CC}">
              <c16:uniqueId val="{00000000-D225-4B7D-86A0-B22D3ABC231B}"/>
            </c:ext>
          </c:extLst>
        </c:ser>
        <c:ser>
          <c:idx val="1"/>
          <c:order val="1"/>
          <c:tx>
            <c:strRef>
              <c:f>'Q1 - analysis'!$R$26</c:f>
              <c:strCache>
                <c:ptCount val="1"/>
                <c:pt idx="0">
                  <c:v>Basic Metals Mfg.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analysis'!$R$27:$R$51</c:f>
              <c:numCache>
                <c:formatCode>General</c:formatCode>
                <c:ptCount val="22"/>
                <c:pt idx="0">
                  <c:v>1303.48</c:v>
                </c:pt>
                <c:pt idx="1">
                  <c:v>1339.92</c:v>
                </c:pt>
                <c:pt idx="2">
                  <c:v>1434.65</c:v>
                </c:pt>
                <c:pt idx="3">
                  <c:v>1468.35</c:v>
                </c:pt>
                <c:pt idx="4">
                  <c:v>1441.03</c:v>
                </c:pt>
                <c:pt idx="5">
                  <c:v>1366.33</c:v>
                </c:pt>
                <c:pt idx="6">
                  <c:v>1360.87</c:v>
                </c:pt>
                <c:pt idx="7">
                  <c:v>1356.31</c:v>
                </c:pt>
                <c:pt idx="8">
                  <c:v>1335.36</c:v>
                </c:pt>
                <c:pt idx="9">
                  <c:v>1326.26</c:v>
                </c:pt>
                <c:pt idx="10">
                  <c:v>1304.3900000000001</c:v>
                </c:pt>
                <c:pt idx="11">
                  <c:v>1304.3900000000001</c:v>
                </c:pt>
                <c:pt idx="12">
                  <c:v>1325.34</c:v>
                </c:pt>
                <c:pt idx="13">
                  <c:v>1338.1</c:v>
                </c:pt>
                <c:pt idx="14">
                  <c:v>1331.72</c:v>
                </c:pt>
                <c:pt idx="15">
                  <c:v>1323.52</c:v>
                </c:pt>
                <c:pt idx="16">
                  <c:v>1308.04</c:v>
                </c:pt>
                <c:pt idx="17">
                  <c:v>1289.82</c:v>
                </c:pt>
                <c:pt idx="18">
                  <c:v>1274.33</c:v>
                </c:pt>
                <c:pt idx="19">
                  <c:v>1280.71</c:v>
                </c:pt>
                <c:pt idx="20">
                  <c:v>1302.57</c:v>
                </c:pt>
                <c:pt idx="21">
                  <c:v>1295.28</c:v>
                </c:pt>
              </c:numCache>
            </c:numRef>
          </c:val>
          <c:smooth val="0"/>
          <c:extLst>
            <c:ext xmlns:c16="http://schemas.microsoft.com/office/drawing/2014/chart" uri="{C3380CC4-5D6E-409C-BE32-E72D297353CC}">
              <c16:uniqueId val="{00000001-D225-4B7D-86A0-B22D3ABC231B}"/>
            </c:ext>
          </c:extLst>
        </c:ser>
        <c:ser>
          <c:idx val="2"/>
          <c:order val="2"/>
          <c:tx>
            <c:strRef>
              <c:f>'Q1 - analysis'!$S$26</c:f>
              <c:strCache>
                <c:ptCount val="1"/>
                <c:pt idx="0">
                  <c:v>Mineral Oils Mfg.</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analysis'!$S$27:$S$51</c:f>
              <c:numCache>
                <c:formatCode>General</c:formatCode>
                <c:ptCount val="22"/>
                <c:pt idx="0">
                  <c:v>975.84</c:v>
                </c:pt>
                <c:pt idx="1">
                  <c:v>1021.59</c:v>
                </c:pt>
                <c:pt idx="2">
                  <c:v>1113.0999999999999</c:v>
                </c:pt>
                <c:pt idx="3">
                  <c:v>1200.32</c:v>
                </c:pt>
                <c:pt idx="4">
                  <c:v>1334.72</c:v>
                </c:pt>
                <c:pt idx="5">
                  <c:v>1356.88</c:v>
                </c:pt>
                <c:pt idx="6">
                  <c:v>1350.44</c:v>
                </c:pt>
                <c:pt idx="7">
                  <c:v>1248.21</c:v>
                </c:pt>
                <c:pt idx="8">
                  <c:v>1227.48</c:v>
                </c:pt>
                <c:pt idx="9">
                  <c:v>1189.5899999999999</c:v>
                </c:pt>
                <c:pt idx="10">
                  <c:v>1232.49</c:v>
                </c:pt>
                <c:pt idx="11">
                  <c:v>1175.29</c:v>
                </c:pt>
                <c:pt idx="12">
                  <c:v>1150.27</c:v>
                </c:pt>
                <c:pt idx="13">
                  <c:v>1183.1600000000001</c:v>
                </c:pt>
                <c:pt idx="14">
                  <c:v>1181.01</c:v>
                </c:pt>
                <c:pt idx="15">
                  <c:v>1140.98</c:v>
                </c:pt>
                <c:pt idx="16">
                  <c:v>1118.0999999999999</c:v>
                </c:pt>
                <c:pt idx="17">
                  <c:v>1092.3699999999999</c:v>
                </c:pt>
                <c:pt idx="18">
                  <c:v>1085.22</c:v>
                </c:pt>
                <c:pt idx="19">
                  <c:v>1126.68</c:v>
                </c:pt>
                <c:pt idx="20">
                  <c:v>1170.29</c:v>
                </c:pt>
                <c:pt idx="21">
                  <c:v>1183.8699999999999</c:v>
                </c:pt>
              </c:numCache>
            </c:numRef>
          </c:val>
          <c:smooth val="0"/>
          <c:extLst>
            <c:ext xmlns:c16="http://schemas.microsoft.com/office/drawing/2014/chart" uri="{C3380CC4-5D6E-409C-BE32-E72D297353CC}">
              <c16:uniqueId val="{00000002-D225-4B7D-86A0-B22D3ABC231B}"/>
            </c:ext>
          </c:extLst>
        </c:ser>
        <c:ser>
          <c:idx val="3"/>
          <c:order val="3"/>
          <c:tx>
            <c:strRef>
              <c:f>'Q1 - analysis'!$T$26</c:f>
              <c:strCache>
                <c:ptCount val="1"/>
                <c:pt idx="0">
                  <c:v>Chemicals &amp; Chemical Products Mfg.</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analysis'!$T$27:$T$51</c:f>
              <c:numCache>
                <c:formatCode>General</c:formatCode>
                <c:ptCount val="22"/>
                <c:pt idx="0">
                  <c:v>841.8</c:v>
                </c:pt>
                <c:pt idx="1">
                  <c:v>852.21</c:v>
                </c:pt>
                <c:pt idx="2">
                  <c:v>871.19</c:v>
                </c:pt>
                <c:pt idx="3">
                  <c:v>892.01</c:v>
                </c:pt>
                <c:pt idx="4">
                  <c:v>899.96</c:v>
                </c:pt>
                <c:pt idx="5">
                  <c:v>907.92</c:v>
                </c:pt>
                <c:pt idx="6">
                  <c:v>904.86</c:v>
                </c:pt>
                <c:pt idx="7">
                  <c:v>897.52</c:v>
                </c:pt>
                <c:pt idx="8">
                  <c:v>893.84</c:v>
                </c:pt>
                <c:pt idx="9">
                  <c:v>895.68</c:v>
                </c:pt>
                <c:pt idx="10">
                  <c:v>888.94</c:v>
                </c:pt>
                <c:pt idx="11">
                  <c:v>881.6</c:v>
                </c:pt>
                <c:pt idx="12">
                  <c:v>877.31</c:v>
                </c:pt>
                <c:pt idx="13">
                  <c:v>874.25</c:v>
                </c:pt>
                <c:pt idx="14">
                  <c:v>870.58</c:v>
                </c:pt>
                <c:pt idx="15">
                  <c:v>863.84</c:v>
                </c:pt>
                <c:pt idx="16">
                  <c:v>854.66</c:v>
                </c:pt>
                <c:pt idx="17">
                  <c:v>844.25</c:v>
                </c:pt>
                <c:pt idx="18">
                  <c:v>836.29</c:v>
                </c:pt>
                <c:pt idx="19">
                  <c:v>834.46</c:v>
                </c:pt>
                <c:pt idx="20">
                  <c:v>834.46</c:v>
                </c:pt>
                <c:pt idx="21">
                  <c:v>836.29</c:v>
                </c:pt>
              </c:numCache>
            </c:numRef>
          </c:val>
          <c:smooth val="0"/>
          <c:extLst>
            <c:ext xmlns:c16="http://schemas.microsoft.com/office/drawing/2014/chart" uri="{C3380CC4-5D6E-409C-BE32-E72D297353CC}">
              <c16:uniqueId val="{00000003-D225-4B7D-86A0-B22D3ABC231B}"/>
            </c:ext>
          </c:extLst>
        </c:ser>
        <c:ser>
          <c:idx val="4"/>
          <c:order val="4"/>
          <c:tx>
            <c:strRef>
              <c:f>'Q1 - analysis'!$U$26</c:f>
              <c:strCache>
                <c:ptCount val="1"/>
                <c:pt idx="0">
                  <c:v>Milk Production</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analysis'!$U$27:$U$51</c:f>
              <c:numCache>
                <c:formatCode>General</c:formatCode>
                <c:ptCount val="22"/>
                <c:pt idx="0">
                  <c:v>664.94</c:v>
                </c:pt>
                <c:pt idx="1">
                  <c:v>666.63</c:v>
                </c:pt>
                <c:pt idx="2">
                  <c:v>682.69</c:v>
                </c:pt>
                <c:pt idx="3">
                  <c:v>689.87</c:v>
                </c:pt>
                <c:pt idx="4">
                  <c:v>692.4</c:v>
                </c:pt>
                <c:pt idx="5">
                  <c:v>693.67</c:v>
                </c:pt>
                <c:pt idx="6">
                  <c:v>694.51</c:v>
                </c:pt>
                <c:pt idx="7">
                  <c:v>699.16</c:v>
                </c:pt>
                <c:pt idx="8">
                  <c:v>699.16</c:v>
                </c:pt>
                <c:pt idx="9">
                  <c:v>704.23</c:v>
                </c:pt>
                <c:pt idx="10">
                  <c:v>706.77</c:v>
                </c:pt>
                <c:pt idx="11">
                  <c:v>717.75</c:v>
                </c:pt>
                <c:pt idx="12">
                  <c:v>730.42</c:v>
                </c:pt>
                <c:pt idx="13">
                  <c:v>735.49</c:v>
                </c:pt>
                <c:pt idx="14">
                  <c:v>740.56</c:v>
                </c:pt>
                <c:pt idx="15">
                  <c:v>746.48</c:v>
                </c:pt>
                <c:pt idx="16">
                  <c:v>749.01</c:v>
                </c:pt>
                <c:pt idx="17">
                  <c:v>753.24</c:v>
                </c:pt>
                <c:pt idx="18">
                  <c:v>751.55</c:v>
                </c:pt>
                <c:pt idx="19">
                  <c:v>758.73</c:v>
                </c:pt>
                <c:pt idx="20">
                  <c:v>760.42</c:v>
                </c:pt>
                <c:pt idx="21">
                  <c:v>761.26</c:v>
                </c:pt>
              </c:numCache>
            </c:numRef>
          </c:val>
          <c:smooth val="0"/>
          <c:extLst>
            <c:ext xmlns:c16="http://schemas.microsoft.com/office/drawing/2014/chart" uri="{C3380CC4-5D6E-409C-BE32-E72D297353CC}">
              <c16:uniqueId val="{00000004-D225-4B7D-86A0-B22D3ABC231B}"/>
            </c:ext>
          </c:extLst>
        </c:ser>
        <c:ser>
          <c:idx val="5"/>
          <c:order val="5"/>
          <c:tx>
            <c:strRef>
              <c:f>'Q1 - analysis'!$V$26</c:f>
              <c:strCache>
                <c:ptCount val="1"/>
                <c:pt idx="0">
                  <c:v>Textile Mfg.</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analysis'!$V$27:$V$51</c:f>
              <c:numCache>
                <c:formatCode>General</c:formatCode>
                <c:ptCount val="22"/>
                <c:pt idx="0">
                  <c:v>678.84</c:v>
                </c:pt>
                <c:pt idx="1">
                  <c:v>689.49</c:v>
                </c:pt>
                <c:pt idx="2">
                  <c:v>696.76</c:v>
                </c:pt>
                <c:pt idx="3">
                  <c:v>705.96</c:v>
                </c:pt>
                <c:pt idx="4">
                  <c:v>719.03</c:v>
                </c:pt>
                <c:pt idx="5">
                  <c:v>722.9</c:v>
                </c:pt>
                <c:pt idx="6">
                  <c:v>713.22</c:v>
                </c:pt>
                <c:pt idx="7">
                  <c:v>709.34</c:v>
                </c:pt>
                <c:pt idx="8">
                  <c:v>699.66</c:v>
                </c:pt>
                <c:pt idx="9">
                  <c:v>689.98</c:v>
                </c:pt>
                <c:pt idx="10">
                  <c:v>674</c:v>
                </c:pt>
                <c:pt idx="11">
                  <c:v>666.25</c:v>
                </c:pt>
                <c:pt idx="12">
                  <c:v>663.83</c:v>
                </c:pt>
                <c:pt idx="13">
                  <c:v>664.31</c:v>
                </c:pt>
                <c:pt idx="14">
                  <c:v>662.38</c:v>
                </c:pt>
                <c:pt idx="15">
                  <c:v>664.31</c:v>
                </c:pt>
                <c:pt idx="16">
                  <c:v>658.02</c:v>
                </c:pt>
                <c:pt idx="17">
                  <c:v>652.69000000000005</c:v>
                </c:pt>
                <c:pt idx="18">
                  <c:v>648.34</c:v>
                </c:pt>
                <c:pt idx="19">
                  <c:v>649.29999999999995</c:v>
                </c:pt>
                <c:pt idx="20">
                  <c:v>650.27</c:v>
                </c:pt>
                <c:pt idx="21">
                  <c:v>652.21</c:v>
                </c:pt>
              </c:numCache>
            </c:numRef>
          </c:val>
          <c:smooth val="0"/>
          <c:extLst>
            <c:ext xmlns:c16="http://schemas.microsoft.com/office/drawing/2014/chart" uri="{C3380CC4-5D6E-409C-BE32-E72D297353CC}">
              <c16:uniqueId val="{00000005-D225-4B7D-86A0-B22D3ABC231B}"/>
            </c:ext>
          </c:extLst>
        </c:ser>
        <c:ser>
          <c:idx val="6"/>
          <c:order val="6"/>
          <c:tx>
            <c:strRef>
              <c:f>'Q1 - analysis'!$W$26</c:f>
              <c:strCache>
                <c:ptCount val="1"/>
                <c:pt idx="0">
                  <c:v>Non-food articles</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analysis'!$W$27:$W$51</c:f>
              <c:numCache>
                <c:formatCode>General</c:formatCode>
                <c:ptCount val="22"/>
                <c:pt idx="0">
                  <c:v>635.07000000000005</c:v>
                </c:pt>
                <c:pt idx="1">
                  <c:v>651.53</c:v>
                </c:pt>
                <c:pt idx="2">
                  <c:v>669.9</c:v>
                </c:pt>
                <c:pt idx="3">
                  <c:v>679.47</c:v>
                </c:pt>
                <c:pt idx="4">
                  <c:v>688.66</c:v>
                </c:pt>
                <c:pt idx="5">
                  <c:v>673.35</c:v>
                </c:pt>
                <c:pt idx="6">
                  <c:v>657.65</c:v>
                </c:pt>
                <c:pt idx="7">
                  <c:v>670.28</c:v>
                </c:pt>
                <c:pt idx="8">
                  <c:v>643.87</c:v>
                </c:pt>
                <c:pt idx="9">
                  <c:v>635.45000000000005</c:v>
                </c:pt>
                <c:pt idx="10">
                  <c:v>646.16999999999996</c:v>
                </c:pt>
                <c:pt idx="11">
                  <c:v>655.36</c:v>
                </c:pt>
                <c:pt idx="12">
                  <c:v>664.93</c:v>
                </c:pt>
                <c:pt idx="13">
                  <c:v>651.53</c:v>
                </c:pt>
                <c:pt idx="14">
                  <c:v>639.66</c:v>
                </c:pt>
                <c:pt idx="15">
                  <c:v>633.91999999999996</c:v>
                </c:pt>
                <c:pt idx="16">
                  <c:v>623.20000000000005</c:v>
                </c:pt>
                <c:pt idx="17">
                  <c:v>608.27</c:v>
                </c:pt>
                <c:pt idx="18">
                  <c:v>619.76</c:v>
                </c:pt>
                <c:pt idx="19">
                  <c:v>624.73</c:v>
                </c:pt>
                <c:pt idx="20">
                  <c:v>630.09</c:v>
                </c:pt>
                <c:pt idx="21">
                  <c:v>628.17999999999995</c:v>
                </c:pt>
              </c:numCache>
            </c:numRef>
          </c:val>
          <c:smooth val="0"/>
          <c:extLst>
            <c:ext xmlns:c16="http://schemas.microsoft.com/office/drawing/2014/chart" uri="{C3380CC4-5D6E-409C-BE32-E72D297353CC}">
              <c16:uniqueId val="{00000006-D225-4B7D-86A0-B22D3ABC231B}"/>
            </c:ext>
          </c:extLst>
        </c:ser>
        <c:ser>
          <c:idx val="7"/>
          <c:order val="7"/>
          <c:tx>
            <c:strRef>
              <c:f>'Q1 - analysis'!$X$26</c:f>
              <c:strCache>
                <c:ptCount val="1"/>
                <c:pt idx="0">
                  <c:v>Automobile Mfg.</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analysis'!$X$27:$X$51</c:f>
              <c:numCache>
                <c:formatCode>General</c:formatCode>
                <c:ptCount val="22"/>
                <c:pt idx="0">
                  <c:v>632.67999999999995</c:v>
                </c:pt>
                <c:pt idx="1">
                  <c:v>634.19000000000005</c:v>
                </c:pt>
                <c:pt idx="2">
                  <c:v>635.20000000000005</c:v>
                </c:pt>
                <c:pt idx="3">
                  <c:v>636.72</c:v>
                </c:pt>
                <c:pt idx="4">
                  <c:v>643.79</c:v>
                </c:pt>
                <c:pt idx="5">
                  <c:v>645.29999999999995</c:v>
                </c:pt>
                <c:pt idx="6">
                  <c:v>646.82000000000005</c:v>
                </c:pt>
                <c:pt idx="7">
                  <c:v>641.26</c:v>
                </c:pt>
                <c:pt idx="8">
                  <c:v>647.83000000000004</c:v>
                </c:pt>
                <c:pt idx="9">
                  <c:v>646.82000000000005</c:v>
                </c:pt>
                <c:pt idx="10">
                  <c:v>644.79999999999995</c:v>
                </c:pt>
                <c:pt idx="11">
                  <c:v>646.30999999999995</c:v>
                </c:pt>
                <c:pt idx="12">
                  <c:v>641.77</c:v>
                </c:pt>
                <c:pt idx="13">
                  <c:v>641.77</c:v>
                </c:pt>
                <c:pt idx="14">
                  <c:v>648.33000000000004</c:v>
                </c:pt>
                <c:pt idx="15">
                  <c:v>646.30999999999995</c:v>
                </c:pt>
                <c:pt idx="16">
                  <c:v>646.82000000000005</c:v>
                </c:pt>
                <c:pt idx="17">
                  <c:v>645.29999999999995</c:v>
                </c:pt>
                <c:pt idx="18">
                  <c:v>648.84</c:v>
                </c:pt>
                <c:pt idx="19">
                  <c:v>647.83000000000004</c:v>
                </c:pt>
                <c:pt idx="20">
                  <c:v>646.30999999999995</c:v>
                </c:pt>
                <c:pt idx="21">
                  <c:v>644.79999999999995</c:v>
                </c:pt>
              </c:numCache>
            </c:numRef>
          </c:val>
          <c:smooth val="0"/>
          <c:extLst>
            <c:ext xmlns:c16="http://schemas.microsoft.com/office/drawing/2014/chart" uri="{C3380CC4-5D6E-409C-BE32-E72D297353CC}">
              <c16:uniqueId val="{00000007-D225-4B7D-86A0-B22D3ABC231B}"/>
            </c:ext>
          </c:extLst>
        </c:ser>
        <c:ser>
          <c:idx val="8"/>
          <c:order val="8"/>
          <c:tx>
            <c:strRef>
              <c:f>'Q1 - analysis'!$Y$26</c:f>
              <c:strCache>
                <c:ptCount val="1"/>
                <c:pt idx="0">
                  <c:v>Fruits &amp; Veggies</c:v>
                </c:pt>
              </c:strCache>
            </c:strRef>
          </c:tx>
          <c:spPr>
            <a:ln w="34925" cap="rnd">
              <a:solidFill>
                <a:schemeClr val="accent3">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w="9525">
                <a:solidFill>
                  <a:schemeClr val="accent3">
                    <a:lumMod val="60000"/>
                  </a:schemeClr>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analysis'!$Y$27:$Y$51</c:f>
              <c:numCache>
                <c:formatCode>General</c:formatCode>
                <c:ptCount val="22"/>
                <c:pt idx="0">
                  <c:v>610.86</c:v>
                </c:pt>
                <c:pt idx="1">
                  <c:v>581.5</c:v>
                </c:pt>
                <c:pt idx="2">
                  <c:v>541.85</c:v>
                </c:pt>
                <c:pt idx="3">
                  <c:v>599.36</c:v>
                </c:pt>
                <c:pt idx="4">
                  <c:v>630.84</c:v>
                </c:pt>
                <c:pt idx="5">
                  <c:v>683.82</c:v>
                </c:pt>
                <c:pt idx="6">
                  <c:v>632.66</c:v>
                </c:pt>
                <c:pt idx="7">
                  <c:v>655.05999999999995</c:v>
                </c:pt>
                <c:pt idx="8">
                  <c:v>652.64</c:v>
                </c:pt>
                <c:pt idx="9">
                  <c:v>698.65</c:v>
                </c:pt>
                <c:pt idx="10">
                  <c:v>621.76</c:v>
                </c:pt>
                <c:pt idx="11">
                  <c:v>523.99</c:v>
                </c:pt>
                <c:pt idx="12">
                  <c:v>518.23</c:v>
                </c:pt>
                <c:pt idx="13">
                  <c:v>523.67999999999995</c:v>
                </c:pt>
                <c:pt idx="14">
                  <c:v>546.99</c:v>
                </c:pt>
                <c:pt idx="15">
                  <c:v>581.79999999999995</c:v>
                </c:pt>
                <c:pt idx="16">
                  <c:v>557.59</c:v>
                </c:pt>
                <c:pt idx="17">
                  <c:v>586.95000000000005</c:v>
                </c:pt>
                <c:pt idx="18">
                  <c:v>856.36</c:v>
                </c:pt>
                <c:pt idx="19">
                  <c:v>797.94</c:v>
                </c:pt>
                <c:pt idx="20">
                  <c:v>600.87</c:v>
                </c:pt>
                <c:pt idx="21">
                  <c:v>620.25</c:v>
                </c:pt>
              </c:numCache>
            </c:numRef>
          </c:val>
          <c:smooth val="0"/>
          <c:extLst>
            <c:ext xmlns:c16="http://schemas.microsoft.com/office/drawing/2014/chart" uri="{C3380CC4-5D6E-409C-BE32-E72D297353CC}">
              <c16:uniqueId val="{00000008-D225-4B7D-86A0-B22D3ABC231B}"/>
            </c:ext>
          </c:extLst>
        </c:ser>
        <c:ser>
          <c:idx val="9"/>
          <c:order val="9"/>
          <c:tx>
            <c:strRef>
              <c:f>'Q1 - analysis'!$Z$26</c:f>
              <c:strCache>
                <c:ptCount val="1"/>
                <c:pt idx="0">
                  <c:v>Food Grains</c:v>
                </c:pt>
              </c:strCache>
            </c:strRef>
          </c:tx>
          <c:spPr>
            <a:ln w="34925" cap="rnd">
              <a:solidFill>
                <a:schemeClr val="accent4">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w="9525">
                <a:solidFill>
                  <a:schemeClr val="accent4">
                    <a:lumMod val="60000"/>
                  </a:schemeClr>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analysis'!$Z$27:$Z$51</c:f>
              <c:numCache>
                <c:formatCode>General</c:formatCode>
                <c:ptCount val="22"/>
                <c:pt idx="0">
                  <c:v>546.78</c:v>
                </c:pt>
                <c:pt idx="1">
                  <c:v>548.1</c:v>
                </c:pt>
                <c:pt idx="2">
                  <c:v>558.66999999999996</c:v>
                </c:pt>
                <c:pt idx="3">
                  <c:v>565.61</c:v>
                </c:pt>
                <c:pt idx="4">
                  <c:v>567.26</c:v>
                </c:pt>
                <c:pt idx="5">
                  <c:v>563.96</c:v>
                </c:pt>
                <c:pt idx="6">
                  <c:v>570.24</c:v>
                </c:pt>
                <c:pt idx="7">
                  <c:v>584.77</c:v>
                </c:pt>
                <c:pt idx="8">
                  <c:v>589.4</c:v>
                </c:pt>
                <c:pt idx="9">
                  <c:v>593.36</c:v>
                </c:pt>
                <c:pt idx="10">
                  <c:v>600.96</c:v>
                </c:pt>
                <c:pt idx="11">
                  <c:v>609.22</c:v>
                </c:pt>
                <c:pt idx="12">
                  <c:v>617.80999999999995</c:v>
                </c:pt>
                <c:pt idx="13">
                  <c:v>612.52</c:v>
                </c:pt>
                <c:pt idx="14">
                  <c:v>604.59</c:v>
                </c:pt>
                <c:pt idx="15">
                  <c:v>606.91</c:v>
                </c:pt>
                <c:pt idx="16">
                  <c:v>605.26</c:v>
                </c:pt>
                <c:pt idx="17">
                  <c:v>611.86</c:v>
                </c:pt>
                <c:pt idx="18">
                  <c:v>618.79999999999995</c:v>
                </c:pt>
                <c:pt idx="19">
                  <c:v>628.04999999999995</c:v>
                </c:pt>
                <c:pt idx="20">
                  <c:v>641.6</c:v>
                </c:pt>
                <c:pt idx="21">
                  <c:v>652.16999999999996</c:v>
                </c:pt>
              </c:numCache>
            </c:numRef>
          </c:val>
          <c:smooth val="0"/>
          <c:extLst>
            <c:ext xmlns:c16="http://schemas.microsoft.com/office/drawing/2014/chart" uri="{C3380CC4-5D6E-409C-BE32-E72D297353CC}">
              <c16:uniqueId val="{00000009-D225-4B7D-86A0-B22D3ABC231B}"/>
            </c:ext>
          </c:extLst>
        </c:ser>
        <c:ser>
          <c:idx val="10"/>
          <c:order val="10"/>
          <c:tx>
            <c:strRef>
              <c:f>'Q1 - analysis'!$AA$26</c:f>
              <c:strCache>
                <c:ptCount val="1"/>
                <c:pt idx="0">
                  <c:v>Machinery Mfg.</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w="9525">
                <a:solidFill>
                  <a:schemeClr val="accent5">
                    <a:lumMod val="60000"/>
                  </a:schemeClr>
                </a:solidFill>
                <a:round/>
              </a:ln>
              <a:effectLst>
                <a:outerShdw blurRad="57150" dist="19050" dir="5400000" algn="ctr" rotWithShape="0">
                  <a:srgbClr val="000000">
                    <a:alpha val="63000"/>
                  </a:srgbClr>
                </a:outerShdw>
              </a:effectLst>
            </c:spPr>
          </c:marker>
          <c:cat>
            <c:multiLvlStrRef>
              <c:f>'Q1 - analysis'!$P$27:$P$51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analysis'!$AA$27:$AA$51</c:f>
              <c:numCache>
                <c:formatCode>General</c:formatCode>
                <c:ptCount val="22"/>
                <c:pt idx="0">
                  <c:v>569.80999999999995</c:v>
                </c:pt>
                <c:pt idx="1">
                  <c:v>571.67999999999995</c:v>
                </c:pt>
                <c:pt idx="2">
                  <c:v>574.96</c:v>
                </c:pt>
                <c:pt idx="3">
                  <c:v>582.46</c:v>
                </c:pt>
                <c:pt idx="4">
                  <c:v>585.27</c:v>
                </c:pt>
                <c:pt idx="5">
                  <c:v>586.21</c:v>
                </c:pt>
                <c:pt idx="6">
                  <c:v>589.49</c:v>
                </c:pt>
                <c:pt idx="7">
                  <c:v>590.89</c:v>
                </c:pt>
                <c:pt idx="8">
                  <c:v>592.29999999999995</c:v>
                </c:pt>
                <c:pt idx="9">
                  <c:v>592.77</c:v>
                </c:pt>
                <c:pt idx="10">
                  <c:v>593.70000000000005</c:v>
                </c:pt>
                <c:pt idx="11">
                  <c:v>591.83000000000004</c:v>
                </c:pt>
                <c:pt idx="12">
                  <c:v>595.11</c:v>
                </c:pt>
                <c:pt idx="13">
                  <c:v>598.39</c:v>
                </c:pt>
                <c:pt idx="14">
                  <c:v>599.79999999999995</c:v>
                </c:pt>
                <c:pt idx="15">
                  <c:v>601.66999999999996</c:v>
                </c:pt>
                <c:pt idx="16">
                  <c:v>602.14</c:v>
                </c:pt>
                <c:pt idx="17">
                  <c:v>599.79999999999995</c:v>
                </c:pt>
                <c:pt idx="18">
                  <c:v>602.61</c:v>
                </c:pt>
                <c:pt idx="19">
                  <c:v>602.14</c:v>
                </c:pt>
                <c:pt idx="20">
                  <c:v>605.41999999999996</c:v>
                </c:pt>
                <c:pt idx="21">
                  <c:v>604.01</c:v>
                </c:pt>
              </c:numCache>
            </c:numRef>
          </c:val>
          <c:smooth val="0"/>
          <c:extLst>
            <c:ext xmlns:c16="http://schemas.microsoft.com/office/drawing/2014/chart" uri="{C3380CC4-5D6E-409C-BE32-E72D297353CC}">
              <c16:uniqueId val="{0000000A-D225-4B7D-86A0-B22D3ABC231B}"/>
            </c:ext>
          </c:extLst>
        </c:ser>
        <c:dLbls>
          <c:showLegendKey val="0"/>
          <c:showVal val="0"/>
          <c:showCatName val="0"/>
          <c:showSerName val="0"/>
          <c:showPercent val="0"/>
          <c:showBubbleSize val="0"/>
        </c:dLbls>
        <c:marker val="1"/>
        <c:smooth val="0"/>
        <c:axId val="1542178111"/>
        <c:axId val="1542178591"/>
      </c:lineChart>
      <c:catAx>
        <c:axId val="154217811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178591"/>
        <c:crosses val="autoZero"/>
        <c:auto val="1"/>
        <c:lblAlgn val="ctr"/>
        <c:lblOffset val="100"/>
        <c:noMultiLvlLbl val="0"/>
      </c:catAx>
      <c:valAx>
        <c:axId val="154217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178111"/>
        <c:crosses val="autoZero"/>
        <c:crossBetween val="between"/>
      </c:valAx>
      <c:spPr>
        <a:noFill/>
        <a:ln>
          <a:noFill/>
        </a:ln>
        <a:effectLst/>
      </c:spPr>
    </c:plotArea>
    <c:legend>
      <c:legendPos val="r"/>
      <c:layout>
        <c:manualLayout>
          <c:xMode val="edge"/>
          <c:yMode val="edge"/>
          <c:x val="0.88423054791102262"/>
          <c:y val="0.10855390970386727"/>
          <c:w val="0.11004394597795374"/>
          <c:h val="0.770033541212529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[anurag_excel_analysis.xlsx]Q1 - analysis!Q1-category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Time Trend Analysis Of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'Q1 - analysis'!$AD$26</c:f>
              <c:strCache>
                <c:ptCount val="1"/>
                <c:pt idx="0">
                  <c:v>Mfg Sector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multiLvlStrRef>
              <c:f>'Q1 - analysis'!$AC$27:$AC$51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analysis'!$AD$27:$AD$51</c:f>
              <c:numCache>
                <c:formatCode>General</c:formatCode>
                <c:ptCount val="22"/>
                <c:pt idx="0">
                  <c:v>8514.43</c:v>
                </c:pt>
                <c:pt idx="1">
                  <c:v>8619.92</c:v>
                </c:pt>
                <c:pt idx="2">
                  <c:v>8830.92</c:v>
                </c:pt>
                <c:pt idx="3">
                  <c:v>8979.86</c:v>
                </c:pt>
                <c:pt idx="4">
                  <c:v>8998.48</c:v>
                </c:pt>
                <c:pt idx="5">
                  <c:v>8930.2199999999993</c:v>
                </c:pt>
                <c:pt idx="6">
                  <c:v>8886.7800000000007</c:v>
                </c:pt>
                <c:pt idx="7">
                  <c:v>8886.7800000000007</c:v>
                </c:pt>
                <c:pt idx="8">
                  <c:v>8824.7199999999993</c:v>
                </c:pt>
                <c:pt idx="9">
                  <c:v>8806.1</c:v>
                </c:pt>
                <c:pt idx="10">
                  <c:v>8768.8700000000008</c:v>
                </c:pt>
                <c:pt idx="11">
                  <c:v>8756.4500000000007</c:v>
                </c:pt>
                <c:pt idx="12">
                  <c:v>8775.07</c:v>
                </c:pt>
                <c:pt idx="13">
                  <c:v>8787.48</c:v>
                </c:pt>
                <c:pt idx="14">
                  <c:v>8768.8700000000008</c:v>
                </c:pt>
                <c:pt idx="15">
                  <c:v>8775.07</c:v>
                </c:pt>
                <c:pt idx="16">
                  <c:v>8725.42</c:v>
                </c:pt>
                <c:pt idx="17">
                  <c:v>8681.98</c:v>
                </c:pt>
                <c:pt idx="18">
                  <c:v>8657.16</c:v>
                </c:pt>
                <c:pt idx="19">
                  <c:v>8681.98</c:v>
                </c:pt>
                <c:pt idx="20">
                  <c:v>8713.01</c:v>
                </c:pt>
                <c:pt idx="21">
                  <c:v>8713.01</c:v>
                </c:pt>
              </c:numCache>
            </c:numRef>
          </c:val>
          <c:smooth val="0"/>
          <c:extLst>
            <c:ext xmlns:c16="http://schemas.microsoft.com/office/drawing/2014/chart" uri="{C3380CC4-5D6E-409C-BE32-E72D297353CC}">
              <c16:uniqueId val="{00000000-1D35-48ED-9613-B97850E60BA3}"/>
            </c:ext>
          </c:extLst>
        </c:ser>
        <c:ser>
          <c:idx val="1"/>
          <c:order val="1"/>
          <c:tx>
            <c:strRef>
              <c:f>'Q1 - analysis'!$AE$26</c:f>
              <c:strCache>
                <c:ptCount val="1"/>
                <c:pt idx="0">
                  <c:v>Fuel Sector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multiLvlStrRef>
              <c:f>'Q1 - analysis'!$AC$27:$AC$51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analysis'!$AE$27:$AE$51</c:f>
              <c:numCache>
                <c:formatCode>General</c:formatCode>
                <c:ptCount val="22"/>
                <c:pt idx="0">
                  <c:v>1673.99</c:v>
                </c:pt>
                <c:pt idx="1">
                  <c:v>1711.11</c:v>
                </c:pt>
                <c:pt idx="2">
                  <c:v>1780.39</c:v>
                </c:pt>
                <c:pt idx="3">
                  <c:v>1870.71</c:v>
                </c:pt>
                <c:pt idx="4">
                  <c:v>2024.13</c:v>
                </c:pt>
                <c:pt idx="5">
                  <c:v>2067.4299999999998</c:v>
                </c:pt>
                <c:pt idx="6">
                  <c:v>2061.25</c:v>
                </c:pt>
                <c:pt idx="7">
                  <c:v>1969.69</c:v>
                </c:pt>
                <c:pt idx="8">
                  <c:v>1959.79</c:v>
                </c:pt>
                <c:pt idx="9">
                  <c:v>1954.84</c:v>
                </c:pt>
                <c:pt idx="10">
                  <c:v>2014.23</c:v>
                </c:pt>
                <c:pt idx="11">
                  <c:v>1954.84</c:v>
                </c:pt>
                <c:pt idx="12">
                  <c:v>1925.15</c:v>
                </c:pt>
                <c:pt idx="13">
                  <c:v>1949.9</c:v>
                </c:pt>
                <c:pt idx="14">
                  <c:v>1935.05</c:v>
                </c:pt>
                <c:pt idx="15">
                  <c:v>1889.27</c:v>
                </c:pt>
                <c:pt idx="16">
                  <c:v>1838.54</c:v>
                </c:pt>
                <c:pt idx="17">
                  <c:v>1808.85</c:v>
                </c:pt>
                <c:pt idx="18">
                  <c:v>1798.95</c:v>
                </c:pt>
                <c:pt idx="19">
                  <c:v>1844.73</c:v>
                </c:pt>
                <c:pt idx="20">
                  <c:v>1894.22</c:v>
                </c:pt>
                <c:pt idx="21">
                  <c:v>1923.91</c:v>
                </c:pt>
              </c:numCache>
            </c:numRef>
          </c:val>
          <c:smooth val="0"/>
          <c:extLst>
            <c:ext xmlns:c16="http://schemas.microsoft.com/office/drawing/2014/chart" uri="{C3380CC4-5D6E-409C-BE32-E72D297353CC}">
              <c16:uniqueId val="{00000001-1D35-48ED-9613-B97850E60BA3}"/>
            </c:ext>
          </c:extLst>
        </c:ser>
        <c:ser>
          <c:idx val="2"/>
          <c:order val="2"/>
          <c:tx>
            <c:strRef>
              <c:f>'Q1 - analysis'!$AF$26</c:f>
              <c:strCache>
                <c:ptCount val="1"/>
                <c:pt idx="0">
                  <c:v>Primary Articles Sector</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multiLvlStrRef>
              <c:f>'Q1 - analysis'!$AC$27:$AC$51</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2022</c:v>
                  </c:pt>
                  <c:pt idx="12">
                    <c:v>2023</c:v>
                  </c:pt>
                </c:lvl>
              </c:multiLvlStrCache>
            </c:multiLvlStrRef>
          </c:cat>
          <c:val>
            <c:numRef>
              <c:f>'Q1 - analysis'!$AF$27:$AF$51</c:f>
              <c:numCache>
                <c:formatCode>General</c:formatCode>
                <c:ptCount val="22"/>
                <c:pt idx="0">
                  <c:v>3537.29</c:v>
                </c:pt>
                <c:pt idx="1">
                  <c:v>3537.29</c:v>
                </c:pt>
                <c:pt idx="2">
                  <c:v>3609.1</c:v>
                </c:pt>
                <c:pt idx="3">
                  <c:v>3685.12</c:v>
                </c:pt>
                <c:pt idx="4">
                  <c:v>3769.59</c:v>
                </c:pt>
                <c:pt idx="5">
                  <c:v>3832.95</c:v>
                </c:pt>
                <c:pt idx="6">
                  <c:v>3740.03</c:v>
                </c:pt>
                <c:pt idx="7">
                  <c:v>3765.37</c:v>
                </c:pt>
                <c:pt idx="8">
                  <c:v>3714.69</c:v>
                </c:pt>
                <c:pt idx="9">
                  <c:v>3826.61</c:v>
                </c:pt>
                <c:pt idx="10">
                  <c:v>3767.48</c:v>
                </c:pt>
                <c:pt idx="11">
                  <c:v>3651.33</c:v>
                </c:pt>
                <c:pt idx="12">
                  <c:v>3680.9</c:v>
                </c:pt>
                <c:pt idx="13">
                  <c:v>3666.11</c:v>
                </c:pt>
                <c:pt idx="14">
                  <c:v>3699.9</c:v>
                </c:pt>
                <c:pt idx="15">
                  <c:v>3754.81</c:v>
                </c:pt>
                <c:pt idx="16">
                  <c:v>3697.79</c:v>
                </c:pt>
                <c:pt idx="17">
                  <c:v>3718.91</c:v>
                </c:pt>
                <c:pt idx="18">
                  <c:v>4048.35</c:v>
                </c:pt>
                <c:pt idx="19">
                  <c:v>4018.79</c:v>
                </c:pt>
                <c:pt idx="20">
                  <c:v>3877.3</c:v>
                </c:pt>
                <c:pt idx="21">
                  <c:v>3913.2</c:v>
                </c:pt>
              </c:numCache>
            </c:numRef>
          </c:val>
          <c:smooth val="0"/>
          <c:extLst>
            <c:ext xmlns:c16="http://schemas.microsoft.com/office/drawing/2014/chart" uri="{C3380CC4-5D6E-409C-BE32-E72D297353CC}">
              <c16:uniqueId val="{00000002-1D35-48ED-9613-B97850E60BA3}"/>
            </c:ext>
          </c:extLst>
        </c:ser>
        <c:dLbls>
          <c:showLegendKey val="0"/>
          <c:showVal val="0"/>
          <c:showCatName val="0"/>
          <c:showSerName val="0"/>
          <c:showPercent val="0"/>
          <c:showBubbleSize val="0"/>
        </c:dLbls>
        <c:smooth val="0"/>
        <c:axId val="1952432287"/>
        <c:axId val="1952431807"/>
      </c:lineChart>
      <c:catAx>
        <c:axId val="19524322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31807"/>
        <c:crosses val="autoZero"/>
        <c:auto val="1"/>
        <c:lblAlgn val="ctr"/>
        <c:lblOffset val="100"/>
        <c:noMultiLvlLbl val="0"/>
      </c:catAx>
      <c:valAx>
        <c:axId val="195243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3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[anurag_excel_analysis.xlsx]Q2 - analysis!WPI_MoM_last12months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12 MONTH WPI &amp; WPI MoM Trend</a:t>
            </a:r>
          </a:p>
        </c:rich>
      </c:tx>
      <c:layout>
        <c:manualLayout>
          <c:xMode val="edge"/>
          <c:yMode val="edge"/>
          <c:x val="0.36634154833717969"/>
          <c:y val="3.83722868393458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7854486608030318E-2"/>
              <c:y val="5.2679735626055803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878376754846523E-2"/>
              <c:y val="-0.10310087324732865"/>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6119772158253357E-3"/>
              <c:y val="-3.5724291690851295E-4"/>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0159597339036878E-2"/>
              <c:y val="7.5481810992253429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4879552601818716E-2"/>
              <c:y val="-8.5085049112035016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8335485369458506E-2"/>
              <c:y val="-3.3534494274301559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549375877023835E-2"/>
              <c:y val="-3.8796675347519807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6701931242527101E-2"/>
              <c:y val="-5.2323438421700376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6478656817458694E-2"/>
              <c:y val="-6.1004370374135759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4551535279796654E-2"/>
              <c:y val="-8.4906309439511635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440826156539413E-2"/>
              <c:y val="-4.6199003928253546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6.9153321930196026E-3"/>
              <c:y val="-7.7206790688987059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808941875308005E-2"/>
              <c:y val="-0.10051434941478125"/>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 analysis'!$B$16</c:f>
              <c:strCache>
                <c:ptCount val="1"/>
                <c:pt idx="0">
                  <c:v>WPI values</c:v>
                </c:pt>
              </c:strCache>
            </c:strRef>
          </c:tx>
          <c:spPr>
            <a:solidFill>
              <a:schemeClr val="tx2">
                <a:lumMod val="10000"/>
                <a:lumOff val="90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726-42D2-9AF3-A525DF2501CC}"/>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726-42D2-9AF3-A525DF2501CC}"/>
                </c:ext>
              </c:extLst>
            </c:dLbl>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726-42D2-9AF3-A525DF2501C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'Q2 - analysis'!$A$17:$A$32</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2022</c:v>
                  </c:pt>
                  <c:pt idx="3">
                    <c:v>2023</c:v>
                  </c:pt>
                </c:lvl>
              </c:multiLvlStrCache>
            </c:multiLvlStrRef>
          </c:cat>
          <c:val>
            <c:numRef>
              <c:f>'Q2 - analysis'!$B$17:$B$32</c:f>
              <c:numCache>
                <c:formatCode>0.000</c:formatCode>
                <c:ptCount val="13"/>
                <c:pt idx="0">
                  <c:v>83.84</c:v>
                </c:pt>
                <c:pt idx="1">
                  <c:v>83.36</c:v>
                </c:pt>
                <c:pt idx="2">
                  <c:v>82.31</c:v>
                </c:pt>
                <c:pt idx="3">
                  <c:v>82.45</c:v>
                </c:pt>
                <c:pt idx="4">
                  <c:v>82.56</c:v>
                </c:pt>
                <c:pt idx="5">
                  <c:v>82.59</c:v>
                </c:pt>
                <c:pt idx="6">
                  <c:v>82.74</c:v>
                </c:pt>
                <c:pt idx="7">
                  <c:v>82.1</c:v>
                </c:pt>
                <c:pt idx="8">
                  <c:v>81.88</c:v>
                </c:pt>
                <c:pt idx="9">
                  <c:v>83.91</c:v>
                </c:pt>
                <c:pt idx="10">
                  <c:v>84.07</c:v>
                </c:pt>
                <c:pt idx="11">
                  <c:v>83.4</c:v>
                </c:pt>
                <c:pt idx="12">
                  <c:v>83.72</c:v>
                </c:pt>
              </c:numCache>
            </c:numRef>
          </c:val>
          <c:extLst>
            <c:ext xmlns:c16="http://schemas.microsoft.com/office/drawing/2014/chart" uri="{C3380CC4-5D6E-409C-BE32-E72D297353CC}">
              <c16:uniqueId val="{00000000-6726-42D2-9AF3-A525DF2501CC}"/>
            </c:ext>
          </c:extLst>
        </c:ser>
        <c:dLbls>
          <c:showLegendKey val="0"/>
          <c:showVal val="1"/>
          <c:showCatName val="0"/>
          <c:showSerName val="0"/>
          <c:showPercent val="0"/>
          <c:showBubbleSize val="0"/>
        </c:dLbls>
        <c:gapWidth val="219"/>
        <c:overlap val="-27"/>
        <c:axId val="1896511167"/>
        <c:axId val="1896513087"/>
      </c:barChart>
      <c:lineChart>
        <c:grouping val="standard"/>
        <c:varyColors val="0"/>
        <c:ser>
          <c:idx val="1"/>
          <c:order val="1"/>
          <c:tx>
            <c:strRef>
              <c:f>'Q2 - analysis'!$C$16</c:f>
              <c:strCache>
                <c:ptCount val="1"/>
                <c:pt idx="0">
                  <c:v>WPI MoM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2.4879552601818716E-2"/>
                  <c:y val="-8.5085049112035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26-42D2-9AF3-A525DF2501CC}"/>
                </c:ext>
              </c:extLst>
            </c:dLbl>
            <c:dLbl>
              <c:idx val="1"/>
              <c:layout>
                <c:manualLayout>
                  <c:x val="-3.0159597339036878E-2"/>
                  <c:y val="7.5481810992253429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726-42D2-9AF3-A525DF2501CC}"/>
                </c:ext>
              </c:extLst>
            </c:dLbl>
            <c:dLbl>
              <c:idx val="2"/>
              <c:layout>
                <c:manualLayout>
                  <c:x val="5.6119772158253357E-3"/>
                  <c:y val="-3.5724291690851295E-4"/>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26-42D2-9AF3-A525DF2501CC}"/>
                </c:ext>
              </c:extLst>
            </c:dLbl>
            <c:dLbl>
              <c:idx val="3"/>
              <c:layout>
                <c:manualLayout>
                  <c:x val="-2.8335485369458506E-2"/>
                  <c:y val="-3.35344942743015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726-42D2-9AF3-A525DF2501CC}"/>
                </c:ext>
              </c:extLst>
            </c:dLbl>
            <c:dLbl>
              <c:idx val="4"/>
              <c:layout>
                <c:manualLayout>
                  <c:x val="-2.5549375877023835E-2"/>
                  <c:y val="-3.87966753475198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26-42D2-9AF3-A525DF2501CC}"/>
                </c:ext>
              </c:extLst>
            </c:dLbl>
            <c:dLbl>
              <c:idx val="5"/>
              <c:layout>
                <c:manualLayout>
                  <c:x val="-2.6701931242527101E-2"/>
                  <c:y val="-5.23234384217003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726-42D2-9AF3-A525DF2501CC}"/>
                </c:ext>
              </c:extLst>
            </c:dLbl>
            <c:dLbl>
              <c:idx val="6"/>
              <c:layout>
                <c:manualLayout>
                  <c:x val="-2.6478656817458694E-2"/>
                  <c:y val="-6.10043703741357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26-42D2-9AF3-A525DF2501CC}"/>
                </c:ext>
              </c:extLst>
            </c:dLbl>
            <c:dLbl>
              <c:idx val="7"/>
              <c:layout>
                <c:manualLayout>
                  <c:x val="-2.7854486608030318E-2"/>
                  <c:y val="5.2679735626055803E-2"/>
                </c:manualLayout>
              </c:layout>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26-42D2-9AF3-A525DF2501CC}"/>
                </c:ext>
              </c:extLst>
            </c:dLbl>
            <c:dLbl>
              <c:idx val="8"/>
              <c:layout>
                <c:manualLayout>
                  <c:x val="-4.4551535279796654E-2"/>
                  <c:y val="-8.49063094395116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726-42D2-9AF3-A525DF2501CC}"/>
                </c:ext>
              </c:extLst>
            </c:dLbl>
            <c:dLbl>
              <c:idx val="9"/>
              <c:layout>
                <c:manualLayout>
                  <c:x val="-2.5440826156539413E-2"/>
                  <c:y val="-4.6199003928253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26-42D2-9AF3-A525DF2501CC}"/>
                </c:ext>
              </c:extLst>
            </c:dLbl>
            <c:dLbl>
              <c:idx val="10"/>
              <c:layout>
                <c:manualLayout>
                  <c:x val="-6.9153321930196026E-3"/>
                  <c:y val="-7.7206790688987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726-42D2-9AF3-A525DF2501CC}"/>
                </c:ext>
              </c:extLst>
            </c:dLbl>
            <c:dLbl>
              <c:idx val="11"/>
              <c:layout>
                <c:manualLayout>
                  <c:x val="-2.878376754846523E-2"/>
                  <c:y val="-0.103100873247328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726-42D2-9AF3-A525DF2501CC}"/>
                </c:ext>
              </c:extLst>
            </c:dLbl>
            <c:dLbl>
              <c:idx val="12"/>
              <c:layout>
                <c:manualLayout>
                  <c:x val="-2.5808941875308005E-2"/>
                  <c:y val="-0.10051434941478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726-42D2-9AF3-A525DF2501CC}"/>
                </c:ext>
              </c:extLst>
            </c:dLbl>
            <c:spPr>
              <a:solidFill>
                <a:schemeClr val="bg1">
                  <a:lumMod val="9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'Q2 - analysis'!$A$17:$A$32</c:f>
              <c:multiLvlStrCache>
                <c:ptCount val="13"/>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lvl>
                <c:lvl>
                  <c:pt idx="0">
                    <c:v>2022</c:v>
                  </c:pt>
                  <c:pt idx="3">
                    <c:v>2023</c:v>
                  </c:pt>
                </c:lvl>
              </c:multiLvlStrCache>
            </c:multiLvlStrRef>
          </c:cat>
          <c:val>
            <c:numRef>
              <c:f>'Q2 - analysis'!$C$17:$C$32</c:f>
              <c:numCache>
                <c:formatCode>0.000</c:formatCode>
                <c:ptCount val="13"/>
                <c:pt idx="0">
                  <c:v>0.55169105301032384</c:v>
                </c:pt>
                <c:pt idx="1">
                  <c:v>-0.57251908396947038</c:v>
                </c:pt>
                <c:pt idx="2">
                  <c:v>-1.259596928982722</c:v>
                </c:pt>
                <c:pt idx="3">
                  <c:v>0.17008868910217539</c:v>
                </c:pt>
                <c:pt idx="4">
                  <c:v>0.13341419041843472</c:v>
                </c:pt>
                <c:pt idx="5">
                  <c:v>3.6337209302326957E-2</c:v>
                </c:pt>
                <c:pt idx="6">
                  <c:v>0.18162005085360391</c:v>
                </c:pt>
                <c:pt idx="7">
                  <c:v>-0.77350737249214485</c:v>
                </c:pt>
                <c:pt idx="8">
                  <c:v>-0.26796589524969411</c:v>
                </c:pt>
                <c:pt idx="9">
                  <c:v>2.4792379091353216</c:v>
                </c:pt>
                <c:pt idx="10">
                  <c:v>0.19068049100226028</c:v>
                </c:pt>
                <c:pt idx="11">
                  <c:v>-0.7969549185202659</c:v>
                </c:pt>
                <c:pt idx="12">
                  <c:v>0.38369304556354095</c:v>
                </c:pt>
              </c:numCache>
            </c:numRef>
          </c:val>
          <c:smooth val="0"/>
          <c:extLst>
            <c:ext xmlns:c16="http://schemas.microsoft.com/office/drawing/2014/chart" uri="{C3380CC4-5D6E-409C-BE32-E72D297353CC}">
              <c16:uniqueId val="{00000001-6726-42D2-9AF3-A525DF2501CC}"/>
            </c:ext>
          </c:extLst>
        </c:ser>
        <c:dLbls>
          <c:showLegendKey val="0"/>
          <c:showVal val="1"/>
          <c:showCatName val="0"/>
          <c:showSerName val="0"/>
          <c:showPercent val="0"/>
          <c:showBubbleSize val="0"/>
        </c:dLbls>
        <c:marker val="1"/>
        <c:smooth val="0"/>
        <c:axId val="89227440"/>
        <c:axId val="539809872"/>
      </c:lineChart>
      <c:catAx>
        <c:axId val="1896511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Time Period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513087"/>
        <c:crosses val="autoZero"/>
        <c:auto val="1"/>
        <c:lblAlgn val="ctr"/>
        <c:lblOffset val="100"/>
        <c:noMultiLvlLbl val="0"/>
      </c:catAx>
      <c:valAx>
        <c:axId val="1896513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WPI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511167"/>
        <c:crosses val="autoZero"/>
        <c:crossBetween val="between"/>
      </c:valAx>
      <c:valAx>
        <c:axId val="53980987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WPI MoM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27440"/>
        <c:crosses val="max"/>
        <c:crossBetween val="between"/>
      </c:valAx>
      <c:catAx>
        <c:axId val="89227440"/>
        <c:scaling>
          <c:orientation val="minMax"/>
        </c:scaling>
        <c:delete val="1"/>
        <c:axPos val="b"/>
        <c:numFmt formatCode="General" sourceLinked="1"/>
        <c:majorTickMark val="out"/>
        <c:minorTickMark val="none"/>
        <c:tickLblPos val="nextTo"/>
        <c:crossAx val="53980987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[anurag_excel_analysis.xlsx]Q2 - analysis!WPI_YoY_trend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WPI &amp; WPI YoY Trend (2012</a:t>
            </a:r>
            <a:r>
              <a:rPr lang="en-IN" b="1" baseline="0"/>
              <a:t> - 2023)</a:t>
            </a:r>
            <a:endParaRPr lang="en-IN" b="1"/>
          </a:p>
        </c:rich>
      </c:tx>
      <c:layout>
        <c:manualLayout>
          <c:xMode val="edge"/>
          <c:yMode val="edge"/>
          <c:x val="0.36281420389878721"/>
          <c:y val="3.73964311799704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10000"/>
              <a:lumOff val="9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5.1855694670162079E-2"/>
              <c:y val="-3.9262884050078092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0920912406876394"/>
              <c:y val="-8.710594064215281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2948329811889538E-2"/>
              <c:y val="-9.5667245425256092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0102555751453856E-2"/>
              <c:y val="-5.6300549429395365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0915018764375326E-2"/>
              <c:y val="-6.2668850236120302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3129130994823661E-2"/>
              <c:y val="-8.5333399691808642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3377541138538962E-2"/>
              <c:y val="-6.58528832601043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397748927351199E-2"/>
              <c:y val="-6.9615596620600739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3424198334673452E-2"/>
              <c:y val="-5.907938883844184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9197475902020514E-2"/>
              <c:y val="-6.3074043851057832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5762523358697376E-2"/>
              <c:y val="-8.6896272571243785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0915028030436831E-2"/>
              <c:y val="5.9455344390850921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10000"/>
              <a:lumOff val="90000"/>
            </a:schemeClr>
          </a:solidFill>
          <a:ln>
            <a:noFill/>
          </a:ln>
          <a:effectLst/>
        </c:spPr>
      </c:pivotFmt>
      <c:pivotFmt>
        <c:idx val="15"/>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tx2">
              <a:lumMod val="10000"/>
              <a:lumOff val="9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 analysis'!$M$1</c:f>
              <c:strCache>
                <c:ptCount val="1"/>
                <c:pt idx="0">
                  <c:v>WPI Values</c:v>
                </c:pt>
              </c:strCache>
            </c:strRef>
          </c:tx>
          <c:spPr>
            <a:solidFill>
              <a:schemeClr val="tx2">
                <a:lumMod val="10000"/>
                <a:lumOff val="90000"/>
              </a:schemeClr>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A01-4B5D-8E6F-31EF55C2888E}"/>
                </c:ext>
              </c:extLst>
            </c:dLbl>
            <c:dLbl>
              <c:idx val="1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A01-4B5D-8E6F-31EF55C288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'Q2 - analysis'!$L$2:$L$14</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'Q2 - analysis'!$M$2:$M$14</c:f>
              <c:numCache>
                <c:formatCode>0.000</c:formatCode>
                <c:ptCount val="12"/>
                <c:pt idx="0">
                  <c:v>58.124444444444443</c:v>
                </c:pt>
                <c:pt idx="1">
                  <c:v>60.757499999999993</c:v>
                </c:pt>
                <c:pt idx="2">
                  <c:v>62.849999999999994</c:v>
                </c:pt>
                <c:pt idx="3">
                  <c:v>60.845833333333331</c:v>
                </c:pt>
                <c:pt idx="4">
                  <c:v>61.029166666666669</c:v>
                </c:pt>
                <c:pt idx="5">
                  <c:v>63.025833333333317</c:v>
                </c:pt>
                <c:pt idx="6">
                  <c:v>65.485833333333332</c:v>
                </c:pt>
                <c:pt idx="7">
                  <c:v>66.910000000000011</c:v>
                </c:pt>
                <c:pt idx="8">
                  <c:v>67.50833333333334</c:v>
                </c:pt>
                <c:pt idx="9">
                  <c:v>74.391666666666666</c:v>
                </c:pt>
                <c:pt idx="10">
                  <c:v>82.922500000000014</c:v>
                </c:pt>
                <c:pt idx="11">
                  <c:v>82.941999999999993</c:v>
                </c:pt>
              </c:numCache>
            </c:numRef>
          </c:val>
          <c:extLst>
            <c:ext xmlns:c16="http://schemas.microsoft.com/office/drawing/2014/chart" uri="{C3380CC4-5D6E-409C-BE32-E72D297353CC}">
              <c16:uniqueId val="{00000000-AA01-4B5D-8E6F-31EF55C2888E}"/>
            </c:ext>
          </c:extLst>
        </c:ser>
        <c:dLbls>
          <c:showLegendKey val="0"/>
          <c:showVal val="0"/>
          <c:showCatName val="0"/>
          <c:showSerName val="0"/>
          <c:showPercent val="0"/>
          <c:showBubbleSize val="0"/>
        </c:dLbls>
        <c:gapWidth val="219"/>
        <c:overlap val="-27"/>
        <c:axId val="1826744863"/>
        <c:axId val="1826748703"/>
      </c:barChart>
      <c:lineChart>
        <c:grouping val="standard"/>
        <c:varyColors val="0"/>
        <c:ser>
          <c:idx val="1"/>
          <c:order val="1"/>
          <c:tx>
            <c:strRef>
              <c:f>'Q2 - analysis'!$N$1</c:f>
              <c:strCache>
                <c:ptCount val="1"/>
                <c:pt idx="0">
                  <c:v>WPI YoY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D-AA01-4B5D-8E6F-31EF55C2888E}"/>
                </c:ext>
              </c:extLst>
            </c:dLbl>
            <c:dLbl>
              <c:idx val="1"/>
              <c:layout>
                <c:manualLayout>
                  <c:x val="-2.9197475902020514E-2"/>
                  <c:y val="-6.30740438510578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A01-4B5D-8E6F-31EF55C2888E}"/>
                </c:ext>
              </c:extLst>
            </c:dLbl>
            <c:dLbl>
              <c:idx val="2"/>
              <c:layout>
                <c:manualLayout>
                  <c:x val="-2.3424198334673452E-2"/>
                  <c:y val="-5.9079388838441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A01-4B5D-8E6F-31EF55C2888E}"/>
                </c:ext>
              </c:extLst>
            </c:dLbl>
            <c:dLbl>
              <c:idx val="3"/>
              <c:layout>
                <c:manualLayout>
                  <c:x val="-3.0915028030436831E-2"/>
                  <c:y val="5.9455344390850921E-2"/>
                </c:manualLayout>
              </c:layout>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A01-4B5D-8E6F-31EF55C2888E}"/>
                </c:ext>
              </c:extLst>
            </c:dLbl>
            <c:dLbl>
              <c:idx val="4"/>
              <c:layout>
                <c:manualLayout>
                  <c:x val="-3.397748927351199E-2"/>
                  <c:y val="-6.96155966206007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A01-4B5D-8E6F-31EF55C2888E}"/>
                </c:ext>
              </c:extLst>
            </c:dLbl>
            <c:dLbl>
              <c:idx val="5"/>
              <c:layout>
                <c:manualLayout>
                  <c:x val="-3.3377541138538962E-2"/>
                  <c:y val="-6.585288326010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A01-4B5D-8E6F-31EF55C2888E}"/>
                </c:ext>
              </c:extLst>
            </c:dLbl>
            <c:dLbl>
              <c:idx val="6"/>
              <c:layout>
                <c:manualLayout>
                  <c:x val="-3.3129130994823661E-2"/>
                  <c:y val="-8.53333996918086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A01-4B5D-8E6F-31EF55C2888E}"/>
                </c:ext>
              </c:extLst>
            </c:dLbl>
            <c:dLbl>
              <c:idx val="7"/>
              <c:layout>
                <c:manualLayout>
                  <c:x val="-3.0915018764375326E-2"/>
                  <c:y val="-6.2668850236120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A01-4B5D-8E6F-31EF55C2888E}"/>
                </c:ext>
              </c:extLst>
            </c:dLbl>
            <c:dLbl>
              <c:idx val="8"/>
              <c:layout>
                <c:manualLayout>
                  <c:x val="-4.0102555751453856E-2"/>
                  <c:y val="-5.63005494293953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A01-4B5D-8E6F-31EF55C2888E}"/>
                </c:ext>
              </c:extLst>
            </c:dLbl>
            <c:dLbl>
              <c:idx val="9"/>
              <c:layout>
                <c:manualLayout>
                  <c:x val="-5.1855694670162079E-2"/>
                  <c:y val="-3.9262884050078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A01-4B5D-8E6F-31EF55C2888E}"/>
                </c:ext>
              </c:extLst>
            </c:dLbl>
            <c:dLbl>
              <c:idx val="10"/>
              <c:layout>
                <c:manualLayout>
                  <c:x val="-0.10920912406876394"/>
                  <c:y val="-8.7105940642152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A01-4B5D-8E6F-31EF55C2888E}"/>
                </c:ext>
              </c:extLst>
            </c:dLbl>
            <c:dLbl>
              <c:idx val="11"/>
              <c:layout>
                <c:manualLayout>
                  <c:x val="-2.2948329811889538E-2"/>
                  <c:y val="-9.5667245425256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A01-4B5D-8E6F-31EF55C2888E}"/>
                </c:ext>
              </c:extLst>
            </c:dLbl>
            <c:spPr>
              <a:solidFill>
                <a:schemeClr val="bg1">
                  <a:lumMod val="85000"/>
                </a:schemeClr>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'Q2 - analysis'!$L$2:$L$14</c:f>
              <c:strCache>
                <c:ptCount val="12"/>
                <c:pt idx="0">
                  <c:v>2012</c:v>
                </c:pt>
                <c:pt idx="1">
                  <c:v>2013</c:v>
                </c:pt>
                <c:pt idx="2">
                  <c:v>2014</c:v>
                </c:pt>
                <c:pt idx="3">
                  <c:v>2015</c:v>
                </c:pt>
                <c:pt idx="4">
                  <c:v>2016</c:v>
                </c:pt>
                <c:pt idx="5">
                  <c:v>2017</c:v>
                </c:pt>
                <c:pt idx="6">
                  <c:v>2018</c:v>
                </c:pt>
                <c:pt idx="7">
                  <c:v>2019</c:v>
                </c:pt>
                <c:pt idx="8">
                  <c:v>2020</c:v>
                </c:pt>
                <c:pt idx="9">
                  <c:v>2021</c:v>
                </c:pt>
                <c:pt idx="10">
                  <c:v>2022</c:v>
                </c:pt>
                <c:pt idx="11">
                  <c:v>2023</c:v>
                </c:pt>
              </c:strCache>
            </c:strRef>
          </c:cat>
          <c:val>
            <c:numRef>
              <c:f>'Q2 - analysis'!$N$2:$N$14</c:f>
              <c:numCache>
                <c:formatCode>0.000</c:formatCode>
                <c:ptCount val="12"/>
                <c:pt idx="0">
                  <c:v>0</c:v>
                </c:pt>
                <c:pt idx="1">
                  <c:v>4.5300313503593745</c:v>
                </c:pt>
                <c:pt idx="2">
                  <c:v>3.4440192568818686</c:v>
                </c:pt>
                <c:pt idx="3">
                  <c:v>-3.1888093343940542</c:v>
                </c:pt>
                <c:pt idx="4">
                  <c:v>0.3013079504211526</c:v>
                </c:pt>
                <c:pt idx="5">
                  <c:v>3.2716597255410362</c:v>
                </c:pt>
                <c:pt idx="6">
                  <c:v>3.9031614020706042</c:v>
                </c:pt>
                <c:pt idx="7">
                  <c:v>2.1747706246898368</c:v>
                </c:pt>
                <c:pt idx="8">
                  <c:v>0.89423603845961597</c:v>
                </c:pt>
                <c:pt idx="9">
                  <c:v>10.196272065177126</c:v>
                </c:pt>
                <c:pt idx="10">
                  <c:v>11.467458272656009</c:v>
                </c:pt>
                <c:pt idx="11">
                  <c:v>2.3515933552388579E-2</c:v>
                </c:pt>
              </c:numCache>
            </c:numRef>
          </c:val>
          <c:smooth val="0"/>
          <c:extLst>
            <c:ext xmlns:c16="http://schemas.microsoft.com/office/drawing/2014/chart" uri="{C3380CC4-5D6E-409C-BE32-E72D297353CC}">
              <c16:uniqueId val="{00000001-AA01-4B5D-8E6F-31EF55C2888E}"/>
            </c:ext>
          </c:extLst>
        </c:ser>
        <c:dLbls>
          <c:showLegendKey val="0"/>
          <c:showVal val="0"/>
          <c:showCatName val="0"/>
          <c:showSerName val="0"/>
          <c:showPercent val="0"/>
          <c:showBubbleSize val="0"/>
        </c:dLbls>
        <c:marker val="1"/>
        <c:smooth val="0"/>
        <c:axId val="1826749183"/>
        <c:axId val="1826741983"/>
      </c:lineChart>
      <c:catAx>
        <c:axId val="1826744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Time</a:t>
                </a:r>
                <a:r>
                  <a:rPr lang="en-IN" b="1" baseline="0"/>
                  <a:t> Period</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748703"/>
        <c:crosses val="autoZero"/>
        <c:auto val="1"/>
        <c:lblAlgn val="ctr"/>
        <c:lblOffset val="100"/>
        <c:noMultiLvlLbl val="0"/>
      </c:catAx>
      <c:valAx>
        <c:axId val="1826748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WPI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744863"/>
        <c:crosses val="autoZero"/>
        <c:crossBetween val="between"/>
      </c:valAx>
      <c:valAx>
        <c:axId val="1826741983"/>
        <c:scaling>
          <c:orientation val="minMax"/>
          <c:min val="-8"/>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WPI YoY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749183"/>
        <c:crosses val="max"/>
        <c:crossBetween val="between"/>
      </c:valAx>
      <c:catAx>
        <c:axId val="1826749183"/>
        <c:scaling>
          <c:orientation val="minMax"/>
        </c:scaling>
        <c:delete val="1"/>
        <c:axPos val="b"/>
        <c:numFmt formatCode="General" sourceLinked="1"/>
        <c:majorTickMark val="none"/>
        <c:minorTickMark val="none"/>
        <c:tickLblPos val="nextTo"/>
        <c:crossAx val="182674198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174314</xdr:colOff>
      <xdr:row>0</xdr:row>
      <xdr:rowOff>124510</xdr:rowOff>
    </xdr:from>
    <xdr:to>
      <xdr:col>12</xdr:col>
      <xdr:colOff>225838</xdr:colOff>
      <xdr:row>14</xdr:row>
      <xdr:rowOff>184391</xdr:rowOff>
    </xdr:to>
    <xdr:graphicFrame macro="">
      <xdr:nvGraphicFramePr>
        <xdr:cNvPr id="2" name="Chart 1">
          <a:extLst>
            <a:ext uri="{FF2B5EF4-FFF2-40B4-BE49-F238E27FC236}">
              <a16:creationId xmlns:a16="http://schemas.microsoft.com/office/drawing/2014/main" id="{37FF6395-68EB-4B27-AB46-A42B87359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584839</xdr:colOff>
      <xdr:row>16</xdr:row>
      <xdr:rowOff>87157</xdr:rowOff>
    </xdr:from>
    <xdr:to>
      <xdr:col>12</xdr:col>
      <xdr:colOff>276762</xdr:colOff>
      <xdr:row>44</xdr:row>
      <xdr:rowOff>169333</xdr:rowOff>
    </xdr:to>
    <xdr:graphicFrame macro="">
      <xdr:nvGraphicFramePr>
        <xdr:cNvPr id="3" name="Chart 2">
          <a:extLst>
            <a:ext uri="{FF2B5EF4-FFF2-40B4-BE49-F238E27FC236}">
              <a16:creationId xmlns:a16="http://schemas.microsoft.com/office/drawing/2014/main" id="{6CD31A3C-C178-46DE-BF07-599CA812D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436086</xdr:colOff>
      <xdr:row>52</xdr:row>
      <xdr:rowOff>139903</xdr:rowOff>
    </xdr:from>
    <xdr:to>
      <xdr:col>23</xdr:col>
      <xdr:colOff>1067486</xdr:colOff>
      <xdr:row>86</xdr:row>
      <xdr:rowOff>128145</xdr:rowOff>
    </xdr:to>
    <xdr:graphicFrame macro="">
      <xdr:nvGraphicFramePr>
        <xdr:cNvPr id="6" name="Chart 5">
          <a:extLst>
            <a:ext uri="{FF2B5EF4-FFF2-40B4-BE49-F238E27FC236}">
              <a16:creationId xmlns:a16="http://schemas.microsoft.com/office/drawing/2014/main" id="{760AC801-2D3B-4E6E-C0F3-F1D3DF106B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1544109</xdr:colOff>
      <xdr:row>51</xdr:row>
      <xdr:rowOff>178254</xdr:rowOff>
    </xdr:from>
    <xdr:to>
      <xdr:col>32</xdr:col>
      <xdr:colOff>1637109</xdr:colOff>
      <xdr:row>69</xdr:row>
      <xdr:rowOff>178594</xdr:rowOff>
    </xdr:to>
    <xdr:graphicFrame macro="">
      <xdr:nvGraphicFramePr>
        <xdr:cNvPr id="8" name="Chart 7">
          <a:extLst>
            <a:ext uri="{FF2B5EF4-FFF2-40B4-BE49-F238E27FC236}">
              <a16:creationId xmlns:a16="http://schemas.microsoft.com/office/drawing/2014/main" id="{E051DB94-B40C-0990-ECC4-31C1C04C5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565317</xdr:colOff>
      <xdr:row>60</xdr:row>
      <xdr:rowOff>109651</xdr:rowOff>
    </xdr:from>
    <xdr:to>
      <xdr:col>14</xdr:col>
      <xdr:colOff>559672</xdr:colOff>
      <xdr:row>79</xdr:row>
      <xdr:rowOff>126586</xdr:rowOff>
    </xdr:to>
    <mc:AlternateContent xmlns:mc="http://schemas.openxmlformats.org/markup-compatibility/2006">
      <mc:Choice xmlns:a14="http://schemas.microsoft.com/office/drawing/2010/main" Requires="a14">
        <xdr:graphicFrame macro="">
          <xdr:nvGraphicFramePr>
            <xdr:cNvPr id="11" name="Months (Date)">
              <a:extLst>
                <a:ext uri="{FF2B5EF4-FFF2-40B4-BE49-F238E27FC236}">
                  <a16:creationId xmlns:a16="http://schemas.microsoft.com/office/drawing/2014/main" id="{C393690F-6053-99F1-1DF4-5B8BF446868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0966179" y="11276892"/>
              <a:ext cx="1833665" cy="3553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569122</xdr:colOff>
      <xdr:row>53</xdr:row>
      <xdr:rowOff>110691</xdr:rowOff>
    </xdr:from>
    <xdr:to>
      <xdr:col>14</xdr:col>
      <xdr:colOff>563477</xdr:colOff>
      <xdr:row>58</xdr:row>
      <xdr:rowOff>64330</xdr:rowOff>
    </xdr:to>
    <mc:AlternateContent xmlns:mc="http://schemas.openxmlformats.org/markup-compatibility/2006">
      <mc:Choice xmlns:a14="http://schemas.microsoft.com/office/drawing/2010/main" Requires="a14">
        <xdr:graphicFrame macro="">
          <xdr:nvGraphicFramePr>
            <xdr:cNvPr id="12" name="Years (Date)">
              <a:extLst>
                <a:ext uri="{FF2B5EF4-FFF2-40B4-BE49-F238E27FC236}">
                  <a16:creationId xmlns:a16="http://schemas.microsoft.com/office/drawing/2014/main" id="{9B999581-5835-4153-41ED-5E7EC18E90D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0969984" y="9975088"/>
              <a:ext cx="1833665" cy="8842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838980</xdr:colOff>
      <xdr:row>57</xdr:row>
      <xdr:rowOff>82994</xdr:rowOff>
    </xdr:from>
    <xdr:to>
      <xdr:col>27</xdr:col>
      <xdr:colOff>1319797</xdr:colOff>
      <xdr:row>77</xdr:row>
      <xdr:rowOff>133685</xdr:rowOff>
    </xdr:to>
    <mc:AlternateContent xmlns:mc="http://schemas.openxmlformats.org/markup-compatibility/2006">
      <mc:Choice xmlns:a14="http://schemas.microsoft.com/office/drawing/2010/main" Requires="a14">
        <xdr:graphicFrame macro="">
          <xdr:nvGraphicFramePr>
            <xdr:cNvPr id="13" name="Months (Date) 1">
              <a:extLst>
                <a:ext uri="{FF2B5EF4-FFF2-40B4-BE49-F238E27FC236}">
                  <a16:creationId xmlns:a16="http://schemas.microsoft.com/office/drawing/2014/main" id="{211C8ABA-35AB-42FB-716E-6C0B1EF690A6}"/>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30651135" y="10691873"/>
              <a:ext cx="1838403" cy="3773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836194</xdr:colOff>
      <xdr:row>52</xdr:row>
      <xdr:rowOff>13369</xdr:rowOff>
    </xdr:from>
    <xdr:to>
      <xdr:col>27</xdr:col>
      <xdr:colOff>1317011</xdr:colOff>
      <xdr:row>56</xdr:row>
      <xdr:rowOff>155965</xdr:rowOff>
    </xdr:to>
    <mc:AlternateContent xmlns:mc="http://schemas.openxmlformats.org/markup-compatibility/2006">
      <mc:Choice xmlns:a14="http://schemas.microsoft.com/office/drawing/2010/main" Requires="a14">
        <xdr:graphicFrame macro="">
          <xdr:nvGraphicFramePr>
            <xdr:cNvPr id="14" name="Years (Date) 1">
              <a:extLst>
                <a:ext uri="{FF2B5EF4-FFF2-40B4-BE49-F238E27FC236}">
                  <a16:creationId xmlns:a16="http://schemas.microsoft.com/office/drawing/2014/main" id="{3881D3C7-DC74-AB3F-ECE9-45F8BAAFC5E7}"/>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30648349" y="9691645"/>
              <a:ext cx="1838403" cy="887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355943</xdr:colOff>
      <xdr:row>15</xdr:row>
      <xdr:rowOff>136010</xdr:rowOff>
    </xdr:from>
    <xdr:to>
      <xdr:col>18</xdr:col>
      <xdr:colOff>194028</xdr:colOff>
      <xdr:row>38</xdr:row>
      <xdr:rowOff>105833</xdr:rowOff>
    </xdr:to>
    <xdr:graphicFrame macro="">
      <xdr:nvGraphicFramePr>
        <xdr:cNvPr id="5" name="Chart 4">
          <a:extLst>
            <a:ext uri="{FF2B5EF4-FFF2-40B4-BE49-F238E27FC236}">
              <a16:creationId xmlns:a16="http://schemas.microsoft.com/office/drawing/2014/main" id="{0DDD5CE3-25A9-FE10-8D69-5FF89062B6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560346</xdr:colOff>
      <xdr:row>15</xdr:row>
      <xdr:rowOff>121396</xdr:rowOff>
    </xdr:from>
    <xdr:to>
      <xdr:col>31</xdr:col>
      <xdr:colOff>578971</xdr:colOff>
      <xdr:row>38</xdr:row>
      <xdr:rowOff>93381</xdr:rowOff>
    </xdr:to>
    <xdr:graphicFrame macro="">
      <xdr:nvGraphicFramePr>
        <xdr:cNvPr id="6" name="Chart 5">
          <a:extLst>
            <a:ext uri="{FF2B5EF4-FFF2-40B4-BE49-F238E27FC236}">
              <a16:creationId xmlns:a16="http://schemas.microsoft.com/office/drawing/2014/main" id="{5E75702D-2905-A7BC-9B7D-2996F3D0C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Nayak" refreshedDate="46009.737230208331" createdVersion="8" refreshedVersion="8" minRefreshableVersion="3" recordCount="22" xr:uid="{3DB47228-9831-43A5-B2A4-2FD082FF8AD8}">
  <cacheSource type="worksheet">
    <worksheetSource ref="P2:AE24" sheet="Q1 - analysis"/>
  </cacheSource>
  <cacheFields count="19">
    <cacheField name="Time period" numFmtId="0">
      <sharedItems count="22">
        <s v="2022-Jan"/>
        <s v="2022-Feb"/>
        <s v="2022-Mar"/>
        <s v="2022-Apr"/>
        <s v="2022-May"/>
        <s v="2022-Jun"/>
        <s v="2022-Jul"/>
        <s v="2022-Aug"/>
        <s v="2022-Sep"/>
        <s v="2022-Oct"/>
        <s v="2022-Nov"/>
        <s v="2022-Dec"/>
        <s v="2023-Jan"/>
        <s v="2023-Feb"/>
        <s v="2023-Mar"/>
        <s v="2023-Apr"/>
        <s v="2023-May"/>
        <s v="2023-Jun"/>
        <s v="2023-Jul"/>
        <s v="2023-Aug"/>
        <s v="2023-Sep"/>
        <s v="2023-Oct"/>
      </sharedItems>
    </cacheField>
    <cacheField name="Date" numFmtId="14">
      <sharedItems containsSemiMixedTypes="0" containsNonDate="0" containsDate="1" containsString="0" minDate="2022-01-01T00:00:00" maxDate="2023-10-02T00:00:00" count="22">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sharedItems>
      <fieldGroup par="18"/>
    </cacheField>
    <cacheField name="(A). Mfg OF FOOD PRODUCTS" numFmtId="0">
      <sharedItems containsSemiMixedTypes="0" containsString="0" containsNumber="1" minValue="1356.59" maxValue="1476.77"/>
    </cacheField>
    <cacheField name="(N). Mfg OF BASIC METALS" numFmtId="0">
      <sharedItems containsSemiMixedTypes="0" containsString="0" containsNumber="1" minValue="1274.33" maxValue="1468.35"/>
    </cacheField>
    <cacheField name="(B). MINERAL OILS" numFmtId="0">
      <sharedItems containsSemiMixedTypes="0" containsString="0" containsNumber="1" minValue="975.84" maxValue="1356.88"/>
    </cacheField>
    <cacheField name="(J). Mfg OF CHEMICALS AND CHEMICAL PRODUCTS" numFmtId="0">
      <sharedItems containsSemiMixedTypes="0" containsString="0" containsNumber="1" minValue="834.46" maxValue="907.92"/>
    </cacheField>
    <cacheField name="Milk" numFmtId="0">
      <sharedItems containsSemiMixedTypes="0" containsString="0" containsNumber="1" minValue="664.94" maxValue="761.26"/>
    </cacheField>
    <cacheField name="(D). Mfg OF TEXTILES" numFmtId="0">
      <sharedItems containsSemiMixedTypes="0" containsString="0" containsNumber="1" minValue="648.34" maxValue="722.9"/>
    </cacheField>
    <cacheField name="(B).  NON-FOOD ARTICLES" numFmtId="0">
      <sharedItems containsSemiMixedTypes="0" containsString="0" containsNumber="1" minValue="608.27" maxValue="688.66"/>
    </cacheField>
    <cacheField name="(S). Mfg OF MOTOR VEHICLES, TRAILERS AND SEMI-TRAILERS" numFmtId="0">
      <sharedItems containsSemiMixedTypes="0" containsString="0" containsNumber="1" minValue="632.67999999999995" maxValue="648.84"/>
    </cacheField>
    <cacheField name="b.  FRUITS &amp; VEGETABLES" numFmtId="0">
      <sharedItems containsSemiMixedTypes="0" containsString="0" containsNumber="1" minValue="518.23" maxValue="856.36"/>
    </cacheField>
    <cacheField name="a.  FOOD GRAINS (CEREALS+PULSES)" numFmtId="0">
      <sharedItems containsSemiMixedTypes="0" containsString="0" containsNumber="1" minValue="546.78" maxValue="652.16999999999996"/>
    </cacheField>
    <cacheField name="(R). Mfg OF MACHINERY AND EQUIPMENT" numFmtId="0">
      <sharedItems containsSemiMixedTypes="0" containsString="0" containsNumber="1" minValue="569.80999999999995" maxValue="605.41999999999996"/>
    </cacheField>
    <cacheField name="III   MfgD PRODUCTS" numFmtId="0">
      <sharedItems containsSemiMixedTypes="0" containsString="0" containsNumber="1" minValue="8514.43" maxValue="8998.48"/>
    </cacheField>
    <cacheField name="I    PRIMARY ARTICLES" numFmtId="0">
      <sharedItems containsSemiMixedTypes="0" containsString="0" containsNumber="1" minValue="3537.29" maxValue="4048.35"/>
    </cacheField>
    <cacheField name="II FUEL &amp; POWER" numFmtId="0">
      <sharedItems containsSemiMixedTypes="0" containsString="0" containsNumber="1" minValue="1673.99" maxValue="2067.4299999999998"/>
    </cacheField>
    <cacheField name="Months (Date)" numFmtId="0" databaseField="0">
      <fieldGroup base="1">
        <rangePr groupBy="months" startDate="2022-01-01T00:00:00" endDate="2023-10-02T00:00:00"/>
        <groupItems count="14">
          <s v="&lt;01-01-2022"/>
          <s v="Jan"/>
          <s v="Feb"/>
          <s v="Mar"/>
          <s v="Apr"/>
          <s v="May"/>
          <s v="Jun"/>
          <s v="Jul"/>
          <s v="Aug"/>
          <s v="Sep"/>
          <s v="Oct"/>
          <s v="Nov"/>
          <s v="Dec"/>
          <s v="&gt;02-10-2023"/>
        </groupItems>
      </fieldGroup>
    </cacheField>
    <cacheField name="Quarters (Date)" numFmtId="0" databaseField="0">
      <fieldGroup base="1">
        <rangePr groupBy="quarters" startDate="2022-01-01T00:00:00" endDate="2023-10-02T00:00:00"/>
        <groupItems count="6">
          <s v="&lt;01-01-2022"/>
          <s v="Qtr1"/>
          <s v="Qtr2"/>
          <s v="Qtr3"/>
          <s v="Qtr4"/>
          <s v="&gt;02-10-2023"/>
        </groupItems>
      </fieldGroup>
    </cacheField>
    <cacheField name="Years (Date)" numFmtId="0" databaseField="0">
      <fieldGroup base="1">
        <rangePr groupBy="years" startDate="2022-01-01T00:00:00" endDate="2023-10-02T00:00:00"/>
        <groupItems count="4">
          <s v="&lt;01-01-2022"/>
          <s v="2022"/>
          <s v="2023"/>
          <s v="&gt;02-10-2023"/>
        </groupItems>
      </fieldGroup>
    </cacheField>
  </cacheFields>
  <extLst>
    <ext xmlns:x14="http://schemas.microsoft.com/office/spreadsheetml/2009/9/main" uri="{725AE2AE-9491-48be-B2B4-4EB974FC3084}">
      <x14:pivotCacheDefinition pivotCacheId="13147180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Nayak" refreshedDate="46009.995026851851" createdVersion="8" refreshedVersion="8" minRefreshableVersion="3" recordCount="13" xr:uid="{09EB9A77-E696-4D64-AC49-E4349EF3D2DD}">
  <cacheSource type="worksheet">
    <worksheetSource ref="A1:C14" sheet="Q2 - analysis"/>
  </cacheSource>
  <cacheFields count="6">
    <cacheField name="Date" numFmtId="14">
      <sharedItems containsSemiMixedTypes="0" containsNonDate="0" containsDate="1" containsString="0" minDate="2022-10-01T00:00:00" maxDate="2023-10-02T00:00:00" count="13">
        <d v="2022-10-01T00:00:00"/>
        <d v="2022-11-01T00:00:00"/>
        <d v="2022-12-01T00:00:00"/>
        <d v="2023-01-01T00:00:00"/>
        <d v="2023-02-01T00:00:00"/>
        <d v="2023-03-01T00:00:00"/>
        <d v="2023-04-01T00:00:00"/>
        <d v="2023-05-01T00:00:00"/>
        <d v="2023-06-01T00:00:00"/>
        <d v="2023-07-01T00:00:00"/>
        <d v="2023-08-01T00:00:00"/>
        <d v="2023-09-01T00:00:00"/>
        <d v="2023-10-01T00:00:00"/>
      </sharedItems>
      <fieldGroup par="5"/>
    </cacheField>
    <cacheField name="WPI" numFmtId="0">
      <sharedItems containsSemiMixedTypes="0" containsString="0" containsNumber="1" minValue="81.88" maxValue="84.07"/>
    </cacheField>
    <cacheField name="WPI MoM" numFmtId="0">
      <sharedItems containsSemiMixedTypes="0" containsString="0" containsNumber="1" minValue="-1.259596928982722" maxValue="2.4792379091353216"/>
    </cacheField>
    <cacheField name="Months (Date)" numFmtId="0" databaseField="0">
      <fieldGroup base="0">
        <rangePr groupBy="months" startDate="2022-10-01T00:00:00" endDate="2023-10-02T00:00:00"/>
        <groupItems count="14">
          <s v="&lt;01-10-2022"/>
          <s v="Jan"/>
          <s v="Feb"/>
          <s v="Mar"/>
          <s v="Apr"/>
          <s v="May"/>
          <s v="Jun"/>
          <s v="Jul"/>
          <s v="Aug"/>
          <s v="Sep"/>
          <s v="Oct"/>
          <s v="Nov"/>
          <s v="Dec"/>
          <s v="&gt;02-10-2023"/>
        </groupItems>
      </fieldGroup>
    </cacheField>
    <cacheField name="Quarters (Date)" numFmtId="0" databaseField="0">
      <fieldGroup base="0">
        <rangePr groupBy="quarters" startDate="2022-10-01T00:00:00" endDate="2023-10-02T00:00:00"/>
        <groupItems count="6">
          <s v="&lt;01-10-2022"/>
          <s v="Qtr1"/>
          <s v="Qtr2"/>
          <s v="Qtr3"/>
          <s v="Qtr4"/>
          <s v="&gt;02-10-2023"/>
        </groupItems>
      </fieldGroup>
    </cacheField>
    <cacheField name="Years (Date)" numFmtId="0" databaseField="0">
      <fieldGroup base="0">
        <rangePr groupBy="years" startDate="2022-10-01T00:00:00" endDate="2023-10-02T00:00:00"/>
        <groupItems count="4">
          <s v="&lt;01-10-2022"/>
          <s v="2022"/>
          <s v="2023"/>
          <s v="&gt;02-10-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Nayak" refreshedDate="46010.008613078702" createdVersion="8" refreshedVersion="8" minRefreshableVersion="3" recordCount="12" xr:uid="{8F77C847-B05D-4098-8642-3F72D05C3C8B}">
  <cacheSource type="worksheet">
    <worksheetSource ref="H1:J13" sheet="Q2 - analysis"/>
  </cacheSource>
  <cacheFields count="3">
    <cacheField name="Year" numFmtId="0">
      <sharedItems containsSemiMixedTypes="0" containsString="0" containsNumber="1" containsInteger="1" minValue="2012" maxValue="2023" count="12">
        <n v="2012"/>
        <n v="2013"/>
        <n v="2014"/>
        <n v="2015"/>
        <n v="2016"/>
        <n v="2017"/>
        <n v="2018"/>
        <n v="2019"/>
        <n v="2020"/>
        <n v="2021"/>
        <n v="2022"/>
        <n v="2023"/>
      </sharedItems>
    </cacheField>
    <cacheField name="WPI" numFmtId="0">
      <sharedItems containsSemiMixedTypes="0" containsString="0" containsNumber="1" minValue="58.124444444444443" maxValue="82.941999999999993"/>
    </cacheField>
    <cacheField name="WPI YoY" numFmtId="0">
      <sharedItems containsSemiMixedTypes="0" containsString="0" containsNumber="1" minValue="-3.1888093343940542" maxValue="11.46745827265600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n v="1356.59"/>
    <n v="1303.48"/>
    <n v="975.84"/>
    <n v="841.8"/>
    <n v="664.94"/>
    <n v="678.84"/>
    <n v="635.07000000000005"/>
    <n v="632.67999999999995"/>
    <n v="610.86"/>
    <n v="546.78"/>
    <n v="569.80999999999995"/>
    <n v="8514.43"/>
    <n v="3537.29"/>
    <n v="1673.99"/>
  </r>
  <r>
    <x v="1"/>
    <x v="1"/>
    <n v="1387.71"/>
    <n v="1339.92"/>
    <n v="1021.59"/>
    <n v="852.21"/>
    <n v="666.63"/>
    <n v="689.49"/>
    <n v="651.53"/>
    <n v="634.19000000000005"/>
    <n v="581.5"/>
    <n v="548.1"/>
    <n v="571.67999999999995"/>
    <n v="8619.92"/>
    <n v="3537.29"/>
    <n v="1711.11"/>
  </r>
  <r>
    <x v="2"/>
    <x v="2"/>
    <n v="1432.67"/>
    <n v="1434.65"/>
    <n v="1113.0999999999999"/>
    <n v="871.19"/>
    <n v="682.69"/>
    <n v="696.76"/>
    <n v="669.9"/>
    <n v="635.20000000000005"/>
    <n v="541.85"/>
    <n v="558.66999999999996"/>
    <n v="574.96"/>
    <n v="8830.92"/>
    <n v="3609.1"/>
    <n v="1780.39"/>
  </r>
  <r>
    <x v="3"/>
    <x v="3"/>
    <n v="1468.99"/>
    <n v="1468.35"/>
    <n v="1200.32"/>
    <n v="892.01"/>
    <n v="689.87"/>
    <n v="705.96"/>
    <n v="679.47"/>
    <n v="636.72"/>
    <n v="599.36"/>
    <n v="565.61"/>
    <n v="582.46"/>
    <n v="8979.86"/>
    <n v="3685.12"/>
    <n v="1870.71"/>
  </r>
  <r>
    <x v="4"/>
    <x v="4"/>
    <n v="1476.77"/>
    <n v="1441.03"/>
    <n v="1334.72"/>
    <n v="899.96"/>
    <n v="692.4"/>
    <n v="719.03"/>
    <n v="688.66"/>
    <n v="643.79"/>
    <n v="630.84"/>
    <n v="567.26"/>
    <n v="585.27"/>
    <n v="8998.48"/>
    <n v="3769.59"/>
    <n v="2024.13"/>
  </r>
  <r>
    <x v="5"/>
    <x v="5"/>
    <n v="1461.21"/>
    <n v="1366.33"/>
    <n v="1356.88"/>
    <n v="907.92"/>
    <n v="693.67"/>
    <n v="722.9"/>
    <n v="673.35"/>
    <n v="645.29999999999995"/>
    <n v="683.82"/>
    <n v="563.96"/>
    <n v="586.21"/>
    <n v="8930.2199999999993"/>
    <n v="3832.95"/>
    <n v="2067.4299999999998"/>
  </r>
  <r>
    <x v="6"/>
    <x v="6"/>
    <n v="1437.86"/>
    <n v="1360.87"/>
    <n v="1350.44"/>
    <n v="904.86"/>
    <n v="694.51"/>
    <n v="713.22"/>
    <n v="657.65"/>
    <n v="646.82000000000005"/>
    <n v="632.66"/>
    <n v="570.24"/>
    <n v="589.49"/>
    <n v="8886.7800000000007"/>
    <n v="3740.03"/>
    <n v="2061.25"/>
  </r>
  <r>
    <x v="7"/>
    <x v="7"/>
    <n v="1441.32"/>
    <n v="1356.31"/>
    <n v="1248.21"/>
    <n v="897.52"/>
    <n v="699.16"/>
    <n v="709.34"/>
    <n v="670.28"/>
    <n v="641.26"/>
    <n v="655.05999999999995"/>
    <n v="584.77"/>
    <n v="590.89"/>
    <n v="8886.7800000000007"/>
    <n v="3765.37"/>
    <n v="1969.69"/>
  </r>
  <r>
    <x v="8"/>
    <x v="8"/>
    <n v="1411.92"/>
    <n v="1335.36"/>
    <n v="1227.48"/>
    <n v="893.84"/>
    <n v="699.16"/>
    <n v="699.66"/>
    <n v="643.87"/>
    <n v="647.83000000000004"/>
    <n v="652.64"/>
    <n v="589.4"/>
    <n v="592.29999999999995"/>
    <n v="8824.7199999999993"/>
    <n v="3714.69"/>
    <n v="1959.79"/>
  </r>
  <r>
    <x v="9"/>
    <x v="9"/>
    <n v="1415.38"/>
    <n v="1326.26"/>
    <n v="1189.5899999999999"/>
    <n v="895.68"/>
    <n v="704.23"/>
    <n v="689.98"/>
    <n v="635.45000000000005"/>
    <n v="646.82000000000005"/>
    <n v="698.65"/>
    <n v="593.36"/>
    <n v="592.77"/>
    <n v="8806.1"/>
    <n v="3826.61"/>
    <n v="1954.84"/>
  </r>
  <r>
    <x v="10"/>
    <x v="10"/>
    <n v="1423.16"/>
    <n v="1304.3900000000001"/>
    <n v="1232.49"/>
    <n v="888.94"/>
    <n v="706.77"/>
    <n v="674"/>
    <n v="646.16999999999996"/>
    <n v="644.79999999999995"/>
    <n v="621.76"/>
    <n v="600.96"/>
    <n v="593.70000000000005"/>
    <n v="8768.8700000000008"/>
    <n v="3767.48"/>
    <n v="2014.23"/>
  </r>
  <r>
    <x v="11"/>
    <x v="11"/>
    <n v="1414.52"/>
    <n v="1304.3900000000001"/>
    <n v="1175.29"/>
    <n v="881.6"/>
    <n v="717.75"/>
    <n v="666.25"/>
    <n v="655.36"/>
    <n v="646.30999999999995"/>
    <n v="523.99"/>
    <n v="609.22"/>
    <n v="591.83000000000004"/>
    <n v="8756.4500000000007"/>
    <n v="3651.33"/>
    <n v="1954.84"/>
  </r>
  <r>
    <x v="12"/>
    <x v="12"/>
    <n v="1410.19"/>
    <n v="1325.34"/>
    <n v="1150.27"/>
    <n v="877.31"/>
    <n v="730.42"/>
    <n v="663.83"/>
    <n v="664.93"/>
    <n v="641.77"/>
    <n v="518.23"/>
    <n v="617.80999999999995"/>
    <n v="595.11"/>
    <n v="8775.07"/>
    <n v="3680.9"/>
    <n v="1925.15"/>
  </r>
  <r>
    <x v="13"/>
    <x v="13"/>
    <n v="1399.82"/>
    <n v="1338.1"/>
    <n v="1183.1600000000001"/>
    <n v="874.25"/>
    <n v="735.49"/>
    <n v="664.31"/>
    <n v="651.53"/>
    <n v="641.77"/>
    <n v="523.67999999999995"/>
    <n v="612.52"/>
    <n v="598.39"/>
    <n v="8787.48"/>
    <n v="3666.11"/>
    <n v="1949.9"/>
  </r>
  <r>
    <x v="14"/>
    <x v="14"/>
    <n v="1390.31"/>
    <n v="1331.72"/>
    <n v="1181.01"/>
    <n v="870.58"/>
    <n v="740.56"/>
    <n v="662.38"/>
    <n v="639.66"/>
    <n v="648.33000000000004"/>
    <n v="546.99"/>
    <n v="604.59"/>
    <n v="599.79999999999995"/>
    <n v="8768.8700000000008"/>
    <n v="3699.9"/>
    <n v="1935.05"/>
  </r>
  <r>
    <x v="15"/>
    <x v="15"/>
    <n v="1387.71"/>
    <n v="1323.52"/>
    <n v="1140.98"/>
    <n v="863.84"/>
    <n v="746.48"/>
    <n v="664.31"/>
    <n v="633.91999999999996"/>
    <n v="646.30999999999995"/>
    <n v="581.79999999999995"/>
    <n v="606.91"/>
    <n v="601.66999999999996"/>
    <n v="8775.07"/>
    <n v="3754.81"/>
    <n v="1889.27"/>
  </r>
  <r>
    <x v="16"/>
    <x v="16"/>
    <n v="1373.88"/>
    <n v="1308.04"/>
    <n v="1118.0999999999999"/>
    <n v="854.66"/>
    <n v="749.01"/>
    <n v="658.02"/>
    <n v="623.20000000000005"/>
    <n v="646.82000000000005"/>
    <n v="557.59"/>
    <n v="605.26"/>
    <n v="602.14"/>
    <n v="8725.42"/>
    <n v="3697.79"/>
    <n v="1838.54"/>
  </r>
  <r>
    <x v="17"/>
    <x v="17"/>
    <n v="1373.01"/>
    <n v="1289.82"/>
    <n v="1092.3699999999999"/>
    <n v="844.25"/>
    <n v="753.24"/>
    <n v="652.69000000000005"/>
    <n v="608.27"/>
    <n v="645.29999999999995"/>
    <n v="586.95000000000005"/>
    <n v="611.86"/>
    <n v="599.79999999999995"/>
    <n v="8681.98"/>
    <n v="3718.91"/>
    <n v="1808.85"/>
  </r>
  <r>
    <x v="18"/>
    <x v="18"/>
    <n v="1382.53"/>
    <n v="1274.33"/>
    <n v="1085.22"/>
    <n v="836.29"/>
    <n v="751.55"/>
    <n v="648.34"/>
    <n v="619.76"/>
    <n v="648.84"/>
    <n v="856.36"/>
    <n v="618.79999999999995"/>
    <n v="602.61"/>
    <n v="8657.16"/>
    <n v="4048.35"/>
    <n v="1798.95"/>
  </r>
  <r>
    <x v="19"/>
    <x v="19"/>
    <n v="1390.31"/>
    <n v="1280.71"/>
    <n v="1126.68"/>
    <n v="834.46"/>
    <n v="758.73"/>
    <n v="649.29999999999995"/>
    <n v="624.73"/>
    <n v="647.83000000000004"/>
    <n v="797.94"/>
    <n v="628.04999999999995"/>
    <n v="602.14"/>
    <n v="8681.98"/>
    <n v="4018.79"/>
    <n v="1844.73"/>
  </r>
  <r>
    <x v="20"/>
    <x v="20"/>
    <n v="1386.85"/>
    <n v="1302.57"/>
    <n v="1170.29"/>
    <n v="834.46"/>
    <n v="760.42"/>
    <n v="650.27"/>
    <n v="630.09"/>
    <n v="646.30999999999995"/>
    <n v="600.87"/>
    <n v="641.6"/>
    <n v="605.41999999999996"/>
    <n v="8713.01"/>
    <n v="3877.3"/>
    <n v="1894.22"/>
  </r>
  <r>
    <x v="21"/>
    <x v="21"/>
    <n v="1390.31"/>
    <n v="1295.28"/>
    <n v="1183.8699999999999"/>
    <n v="836.29"/>
    <n v="761.26"/>
    <n v="652.21"/>
    <n v="628.17999999999995"/>
    <n v="644.79999999999995"/>
    <n v="620.25"/>
    <n v="652.16999999999996"/>
    <n v="604.01"/>
    <n v="8713.01"/>
    <n v="3913.2"/>
    <n v="1923.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n v="83.84"/>
    <n v="0.55169105301032384"/>
  </r>
  <r>
    <x v="1"/>
    <n v="83.36"/>
    <n v="-0.57251908396947038"/>
  </r>
  <r>
    <x v="2"/>
    <n v="82.31"/>
    <n v="-1.259596928982722"/>
  </r>
  <r>
    <x v="3"/>
    <n v="82.45"/>
    <n v="0.17008868910217539"/>
  </r>
  <r>
    <x v="4"/>
    <n v="82.56"/>
    <n v="0.13341419041843472"/>
  </r>
  <r>
    <x v="5"/>
    <n v="82.59"/>
    <n v="3.6337209302326957E-2"/>
  </r>
  <r>
    <x v="6"/>
    <n v="82.74"/>
    <n v="0.18162005085360391"/>
  </r>
  <r>
    <x v="7"/>
    <n v="82.1"/>
    <n v="-0.77350737249214485"/>
  </r>
  <r>
    <x v="8"/>
    <n v="81.88"/>
    <n v="-0.26796589524969411"/>
  </r>
  <r>
    <x v="9"/>
    <n v="83.91"/>
    <n v="2.4792379091353216"/>
  </r>
  <r>
    <x v="10"/>
    <n v="84.07"/>
    <n v="0.19068049100226028"/>
  </r>
  <r>
    <x v="11"/>
    <n v="83.4"/>
    <n v="-0.7969549185202659"/>
  </r>
  <r>
    <x v="12"/>
    <n v="83.72"/>
    <n v="0.383693045563540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58.124444444444443"/>
    <n v="0"/>
  </r>
  <r>
    <x v="1"/>
    <n v="60.757499999999993"/>
    <n v="4.5300313503593745"/>
  </r>
  <r>
    <x v="2"/>
    <n v="62.849999999999994"/>
    <n v="3.4440192568818686"/>
  </r>
  <r>
    <x v="3"/>
    <n v="60.845833333333331"/>
    <n v="-3.1888093343940542"/>
  </r>
  <r>
    <x v="4"/>
    <n v="61.029166666666669"/>
    <n v="0.3013079504211526"/>
  </r>
  <r>
    <x v="5"/>
    <n v="63.025833333333317"/>
    <n v="3.2716597255410362"/>
  </r>
  <r>
    <x v="6"/>
    <n v="65.485833333333332"/>
    <n v="3.9031614020706042"/>
  </r>
  <r>
    <x v="7"/>
    <n v="66.910000000000011"/>
    <n v="2.1747706246898368"/>
  </r>
  <r>
    <x v="8"/>
    <n v="67.50833333333334"/>
    <n v="0.89423603845961597"/>
  </r>
  <r>
    <x v="9"/>
    <n v="74.391666666666666"/>
    <n v="10.196272065177126"/>
  </r>
  <r>
    <x v="10"/>
    <n v="82.922500000000014"/>
    <n v="11.467458272656009"/>
  </r>
  <r>
    <x v="11"/>
    <n v="82.941999999999993"/>
    <n v="2.351593355238857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B306B3-69A5-40F3-8E22-16B4987AE90F}" name="Q1-category"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C26:AF51" firstHeaderRow="0" firstDataRow="1" firstDataCol="1"/>
  <pivotFields count="19">
    <pivotField showAll="0"/>
    <pivotField numFmtId="14"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x="2"/>
        <item sd="0" x="3"/>
      </items>
    </pivotField>
  </pivotFields>
  <rowFields count="2">
    <field x="18"/>
    <field x="16"/>
  </rowFields>
  <rowItems count="2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Fields count="1">
    <field x="-2"/>
  </colFields>
  <colItems count="3">
    <i>
      <x/>
    </i>
    <i i="1">
      <x v="1"/>
    </i>
    <i i="2">
      <x v="2"/>
    </i>
  </colItems>
  <dataFields count="3">
    <dataField name="Mfg Sector" fld="13" baseField="0" baseItem="0"/>
    <dataField name="Fuel Sector" fld="15" baseField="0" baseItem="0"/>
    <dataField name="Primary Articles Sector" fld="14" baseField="0" baseItem="0"/>
  </dataFields>
  <formats count="8">
    <format dxfId="21">
      <pivotArea type="all" dataOnly="0" outline="0" fieldPosition="0"/>
    </format>
    <format dxfId="20">
      <pivotArea outline="0" collapsedLevelsAreSubtotals="1" fieldPosition="0"/>
    </format>
    <format dxfId="19">
      <pivotArea field="18" type="button" dataOnly="0" labelOnly="1" outline="0" axis="axisRow" fieldPosition="0"/>
    </format>
    <format dxfId="18">
      <pivotArea dataOnly="0" labelOnly="1" fieldPosition="0">
        <references count="1">
          <reference field="18" count="2">
            <x v="1"/>
            <x v="2"/>
          </reference>
        </references>
      </pivotArea>
    </format>
    <format dxfId="17">
      <pivotArea dataOnly="0" labelOnly="1" grandRow="1" outline="0" fieldPosition="0"/>
    </format>
    <format dxfId="16">
      <pivotArea dataOnly="0" labelOnly="1" fieldPosition="0">
        <references count="2">
          <reference field="16" count="12">
            <x v="1"/>
            <x v="2"/>
            <x v="3"/>
            <x v="4"/>
            <x v="5"/>
            <x v="6"/>
            <x v="7"/>
            <x v="8"/>
            <x v="9"/>
            <x v="10"/>
            <x v="11"/>
            <x v="12"/>
          </reference>
          <reference field="18" count="1" selected="0">
            <x v="1"/>
          </reference>
        </references>
      </pivotArea>
    </format>
    <format dxfId="15">
      <pivotArea dataOnly="0" labelOnly="1" fieldPosition="0">
        <references count="2">
          <reference field="16" count="10">
            <x v="1"/>
            <x v="2"/>
            <x v="3"/>
            <x v="4"/>
            <x v="5"/>
            <x v="6"/>
            <x v="7"/>
            <x v="8"/>
            <x v="9"/>
            <x v="10"/>
          </reference>
          <reference field="18" count="1" selected="0">
            <x v="2"/>
          </reference>
        </references>
      </pivotArea>
    </format>
    <format dxfId="14">
      <pivotArea dataOnly="0" labelOnly="1" outline="0" fieldPosition="0">
        <references count="1">
          <reference field="4294967294" count="3">
            <x v="0"/>
            <x v="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D3FBE8-9566-4FA3-8FBD-40D6E7A5B17F}" name="Q1-commodity"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26:AA51" firstHeaderRow="0" firstDataRow="1" firstDataCol="1"/>
  <pivotFields count="19">
    <pivotField showAll="0">
      <items count="23">
        <item x="3"/>
        <item x="7"/>
        <item x="11"/>
        <item x="1"/>
        <item x="0"/>
        <item x="6"/>
        <item x="5"/>
        <item x="2"/>
        <item x="4"/>
        <item x="10"/>
        <item h="1" x="9"/>
        <item h="1" x="8"/>
        <item h="1" x="15"/>
        <item h="1" x="19"/>
        <item h="1" x="13"/>
        <item h="1" x="12"/>
        <item h="1" x="18"/>
        <item h="1" x="17"/>
        <item h="1" x="14"/>
        <item h="1" x="16"/>
        <item h="1" x="21"/>
        <item h="1" x="20"/>
        <item t="default"/>
      </items>
    </pivotField>
    <pivotField numFmtId="14" showAll="0">
      <items count="23">
        <item x="0"/>
        <item x="1"/>
        <item x="2"/>
        <item x="3"/>
        <item x="4"/>
        <item x="5"/>
        <item x="6"/>
        <item x="7"/>
        <item x="8"/>
        <item x="9"/>
        <item x="10"/>
        <item x="11"/>
        <item x="12"/>
        <item x="13"/>
        <item x="14"/>
        <item x="15"/>
        <item x="16"/>
        <item x="17"/>
        <item x="18"/>
        <item x="19"/>
        <item x="20"/>
        <item x="2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8"/>
    <field x="16"/>
  </rowFields>
  <rowItems count="2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Fields count="1">
    <field x="-2"/>
  </colFields>
  <colItems count="11">
    <i>
      <x/>
    </i>
    <i i="1">
      <x v="1"/>
    </i>
    <i i="2">
      <x v="2"/>
    </i>
    <i i="3">
      <x v="3"/>
    </i>
    <i i="4">
      <x v="4"/>
    </i>
    <i i="5">
      <x v="5"/>
    </i>
    <i i="6">
      <x v="6"/>
    </i>
    <i i="7">
      <x v="7"/>
    </i>
    <i i="8">
      <x v="8"/>
    </i>
    <i i="9">
      <x v="9"/>
    </i>
    <i i="10">
      <x v="10"/>
    </i>
  </colItems>
  <dataFields count="11">
    <dataField name="Food Products Mfg." fld="2" baseField="0" baseItem="0"/>
    <dataField name="Basic Metals Mfg." fld="3" baseField="0" baseItem="0"/>
    <dataField name="Mineral Oils Mfg." fld="4" baseField="0" baseItem="0"/>
    <dataField name="Chemicals &amp; Chemical Products Mfg." fld="5" baseField="0" baseItem="0"/>
    <dataField name="Milk Production" fld="6" baseField="0" baseItem="0"/>
    <dataField name="Textile Mfg." fld="7" baseField="0" baseItem="0"/>
    <dataField name="Non-food articles" fld="8" baseField="0" baseItem="0"/>
    <dataField name="Automobile Mfg." fld="9" baseField="0" baseItem="0"/>
    <dataField name="Fruits &amp; Veggies" fld="10" baseField="0" baseItem="0"/>
    <dataField name="Food Grains" fld="11" baseField="0" baseItem="0"/>
    <dataField name="Machinery Mfg." fld="12" baseField="0" baseItem="0"/>
  </dataFields>
  <formats count="8">
    <format dxfId="13">
      <pivotArea type="all" dataOnly="0" outline="0" fieldPosition="0"/>
    </format>
    <format dxfId="12">
      <pivotArea outline="0" collapsedLevelsAreSubtotals="1" fieldPosition="0"/>
    </format>
    <format dxfId="11">
      <pivotArea field="18" type="button" dataOnly="0" labelOnly="1" outline="0" axis="axisRow" fieldPosition="0"/>
    </format>
    <format dxfId="10">
      <pivotArea dataOnly="0" labelOnly="1" fieldPosition="0">
        <references count="1">
          <reference field="18" count="2">
            <x v="1"/>
            <x v="2"/>
          </reference>
        </references>
      </pivotArea>
    </format>
    <format dxfId="9">
      <pivotArea dataOnly="0" labelOnly="1" grandRow="1" outline="0" fieldPosition="0"/>
    </format>
    <format dxfId="8">
      <pivotArea dataOnly="0" labelOnly="1" fieldPosition="0">
        <references count="2">
          <reference field="16" count="12">
            <x v="1"/>
            <x v="2"/>
            <x v="3"/>
            <x v="4"/>
            <x v="5"/>
            <x v="6"/>
            <x v="7"/>
            <x v="8"/>
            <x v="9"/>
            <x v="10"/>
            <x v="11"/>
            <x v="12"/>
          </reference>
          <reference field="18" count="1" selected="0">
            <x v="1"/>
          </reference>
        </references>
      </pivotArea>
    </format>
    <format dxfId="7">
      <pivotArea dataOnly="0" labelOnly="1" fieldPosition="0">
        <references count="2">
          <reference field="16" count="10">
            <x v="1"/>
            <x v="2"/>
            <x v="3"/>
            <x v="4"/>
            <x v="5"/>
            <x v="6"/>
            <x v="7"/>
            <x v="8"/>
            <x v="9"/>
            <x v="10"/>
          </reference>
          <reference field="18" count="1" selected="0">
            <x v="2"/>
          </reference>
        </references>
      </pivotArea>
    </format>
    <format dxfId="6">
      <pivotArea dataOnly="0" labelOnly="1" outline="0" fieldPosition="0">
        <references count="1">
          <reference field="4294967294" count="11">
            <x v="0"/>
            <x v="1"/>
            <x v="2"/>
            <x v="3"/>
            <x v="4"/>
            <x v="5"/>
            <x v="6"/>
            <x v="7"/>
            <x v="8"/>
            <x v="9"/>
            <x v="10"/>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0" series="1">
      <pivotArea type="data" outline="0" fieldPosition="0">
        <references count="1">
          <reference field="4294967294" count="1" selected="0">
            <x v="10"/>
          </reference>
        </references>
      </pivotArea>
    </chartFormat>
  </chartFormats>
  <pivotTableStyleInfo name="PivotStyleLight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BFDE33-00C1-4278-9BD4-A6B7215639D6}" name="WPI_YoY_trend" cacheId="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1:N14" firstHeaderRow="0" firstDataRow="1" firstDataCol="1"/>
  <pivotFields count="3">
    <pivotField axis="axisRow" showAll="0">
      <items count="13">
        <item x="0"/>
        <item x="1"/>
        <item x="2"/>
        <item x="3"/>
        <item x="4"/>
        <item x="5"/>
        <item x="6"/>
        <item x="7"/>
        <item x="8"/>
        <item x="9"/>
        <item x="10"/>
        <item x="11"/>
        <item t="default"/>
      </items>
    </pivotField>
    <pivotField dataField="1" showAll="0"/>
    <pivotField dataField="1"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WPI Values" fld="1" baseField="0" baseItem="0"/>
    <dataField name="WPI YoY %" fld="2" baseField="0" baseItem="0"/>
  </dataFields>
  <formats count="1">
    <format dxfId="0">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9"/>
          </reference>
        </references>
      </pivotArea>
    </chartFormat>
    <chartFormat chart="0" format="3">
      <pivotArea type="data" outline="0" fieldPosition="0">
        <references count="2">
          <reference field="4294967294" count="1" selected="0">
            <x v="1"/>
          </reference>
          <reference field="0" count="1" selected="0">
            <x v="10"/>
          </reference>
        </references>
      </pivotArea>
    </chartFormat>
    <chartFormat chart="0" format="4">
      <pivotArea type="data" outline="0" fieldPosition="0">
        <references count="2">
          <reference field="4294967294" count="1" selected="0">
            <x v="1"/>
          </reference>
          <reference field="0" count="1" selected="0">
            <x v="11"/>
          </reference>
        </references>
      </pivotArea>
    </chartFormat>
    <chartFormat chart="0" format="5">
      <pivotArea type="data" outline="0" fieldPosition="0">
        <references count="2">
          <reference field="4294967294" count="1" selected="0">
            <x v="1"/>
          </reference>
          <reference field="0" count="1" selected="0">
            <x v="8"/>
          </reference>
        </references>
      </pivotArea>
    </chartFormat>
    <chartFormat chart="0" format="6">
      <pivotArea type="data" outline="0" fieldPosition="0">
        <references count="2">
          <reference field="4294967294" count="1" selected="0">
            <x v="1"/>
          </reference>
          <reference field="0" count="1" selected="0">
            <x v="7"/>
          </reference>
        </references>
      </pivotArea>
    </chartFormat>
    <chartFormat chart="0" format="7">
      <pivotArea type="data" outline="0" fieldPosition="0">
        <references count="2">
          <reference field="4294967294" count="1" selected="0">
            <x v="1"/>
          </reference>
          <reference field="0" count="1" selected="0">
            <x v="6"/>
          </reference>
        </references>
      </pivotArea>
    </chartFormat>
    <chartFormat chart="0" format="8">
      <pivotArea type="data" outline="0" fieldPosition="0">
        <references count="2">
          <reference field="4294967294" count="1" selected="0">
            <x v="1"/>
          </reference>
          <reference field="0" count="1" selected="0">
            <x v="5"/>
          </reference>
        </references>
      </pivotArea>
    </chartFormat>
    <chartFormat chart="0" format="9">
      <pivotArea type="data" outline="0" fieldPosition="0">
        <references count="2">
          <reference field="4294967294" count="1" selected="0">
            <x v="1"/>
          </reference>
          <reference field="0" count="1" selected="0">
            <x v="4"/>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1"/>
          </reference>
        </references>
      </pivotArea>
    </chartFormat>
    <chartFormat chart="0" format="12">
      <pivotArea type="data" outline="0" fieldPosition="0">
        <references count="2">
          <reference field="4294967294" count="1" selected="0">
            <x v="1"/>
          </reference>
          <reference field="0" count="1" selected="0">
            <x v="0"/>
          </reference>
        </references>
      </pivotArea>
    </chartFormat>
    <chartFormat chart="0" format="13">
      <pivotArea type="data" outline="0" fieldPosition="0">
        <references count="2">
          <reference field="4294967294" count="1" selected="0">
            <x v="1"/>
          </reference>
          <reference field="0" count="1" selected="0">
            <x v="3"/>
          </reference>
        </references>
      </pivotArea>
    </chartFormat>
    <chartFormat chart="0" format="14">
      <pivotArea type="data" outline="0" fieldPosition="0">
        <references count="2">
          <reference field="4294967294" count="1" selected="0">
            <x v="0"/>
          </reference>
          <reference field="0" count="1" selected="0">
            <x v="10"/>
          </reference>
        </references>
      </pivotArea>
    </chartFormat>
    <chartFormat chart="0" format="15">
      <pivotArea type="data" outline="0" fieldPosition="0">
        <references count="2">
          <reference field="4294967294" count="1" selected="0">
            <x v="0"/>
          </reference>
          <reference field="0" count="1" selected="0">
            <x v="11"/>
          </reference>
        </references>
      </pivotArea>
    </chartFormat>
    <chartFormat chart="0" format="16">
      <pivotArea type="data" outline="0" fieldPosition="0">
        <references count="2">
          <reference field="4294967294" count="1" selected="0">
            <x v="0"/>
          </reference>
          <reference field="0" count="1" selected="0">
            <x v="0"/>
          </reference>
        </references>
      </pivotArea>
    </chartFormat>
  </chartFormats>
  <pivotTableStyleInfo name="PivotStyleLight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D099EC-018A-4076-AB28-5FDD0F3D0A36}" name="WPI_MoM_last12months"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C32" firstHeaderRow="0" firstDataRow="1" firstDataCol="1"/>
  <pivotFields count="6">
    <pivotField numFmtId="14" showAll="0">
      <items count="14">
        <item x="0"/>
        <item x="1"/>
        <item x="2"/>
        <item x="3"/>
        <item x="4"/>
        <item x="5"/>
        <item x="6"/>
        <item x="7"/>
        <item x="8"/>
        <item x="9"/>
        <item x="10"/>
        <item x="11"/>
        <item x="12"/>
        <item t="default"/>
      </items>
    </pivotField>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5"/>
    <field x="3"/>
  </rowFields>
  <rowItems count="16">
    <i>
      <x v="1"/>
    </i>
    <i r="1">
      <x v="10"/>
    </i>
    <i r="1">
      <x v="11"/>
    </i>
    <i r="1">
      <x v="12"/>
    </i>
    <i>
      <x v="2"/>
    </i>
    <i r="1">
      <x v="1"/>
    </i>
    <i r="1">
      <x v="2"/>
    </i>
    <i r="1">
      <x v="3"/>
    </i>
    <i r="1">
      <x v="4"/>
    </i>
    <i r="1">
      <x v="5"/>
    </i>
    <i r="1">
      <x v="6"/>
    </i>
    <i r="1">
      <x v="7"/>
    </i>
    <i r="1">
      <x v="8"/>
    </i>
    <i r="1">
      <x v="9"/>
    </i>
    <i r="1">
      <x v="10"/>
    </i>
    <i t="grand">
      <x/>
    </i>
  </rowItems>
  <colFields count="1">
    <field x="-2"/>
  </colFields>
  <colItems count="2">
    <i>
      <x/>
    </i>
    <i i="1">
      <x v="1"/>
    </i>
  </colItems>
  <dataFields count="2">
    <dataField name="WPI values" fld="1" baseField="0" baseItem="0"/>
    <dataField name="WPI MoM %" fld="2" baseField="0" baseItem="0" numFmtId="167"/>
  </dataFields>
  <formats count="1">
    <format dxfId="1">
      <pivotArea outline="0" collapsedLevelsAreSubtotals="1" fieldPosition="0"/>
    </format>
  </formats>
  <chartFormats count="1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3">
          <reference field="4294967294" count="1" selected="0">
            <x v="1"/>
          </reference>
          <reference field="3" count="1" selected="0">
            <x v="5"/>
          </reference>
          <reference field="5" count="1" selected="0">
            <x v="2"/>
          </reference>
        </references>
      </pivotArea>
    </chartFormat>
    <chartFormat chart="6" format="3">
      <pivotArea type="data" outline="0" fieldPosition="0">
        <references count="3">
          <reference field="4294967294" count="1" selected="0">
            <x v="1"/>
          </reference>
          <reference field="3" count="1" selected="0">
            <x v="9"/>
          </reference>
          <reference field="5" count="1" selected="0">
            <x v="2"/>
          </reference>
        </references>
      </pivotArea>
    </chartFormat>
    <chartFormat chart="6" format="4">
      <pivotArea type="data" outline="0" fieldPosition="0">
        <references count="3">
          <reference field="4294967294" count="1" selected="0">
            <x v="1"/>
          </reference>
          <reference field="3" count="1" selected="0">
            <x v="12"/>
          </reference>
          <reference field="5" count="1" selected="0">
            <x v="1"/>
          </reference>
        </references>
      </pivotArea>
    </chartFormat>
    <chartFormat chart="6" format="5">
      <pivotArea type="data" outline="0" fieldPosition="0">
        <references count="3">
          <reference field="4294967294" count="1" selected="0">
            <x v="1"/>
          </reference>
          <reference field="3" count="1" selected="0">
            <x v="11"/>
          </reference>
          <reference field="5" count="1" selected="0">
            <x v="1"/>
          </reference>
        </references>
      </pivotArea>
    </chartFormat>
    <chartFormat chart="6" format="6">
      <pivotArea type="data" outline="0" fieldPosition="0">
        <references count="3">
          <reference field="4294967294" count="1" selected="0">
            <x v="1"/>
          </reference>
          <reference field="3" count="1" selected="0">
            <x v="10"/>
          </reference>
          <reference field="5" count="1" selected="0">
            <x v="1"/>
          </reference>
        </references>
      </pivotArea>
    </chartFormat>
    <chartFormat chart="6" format="7">
      <pivotArea type="data" outline="0" fieldPosition="0">
        <references count="3">
          <reference field="4294967294" count="1" selected="0">
            <x v="1"/>
          </reference>
          <reference field="3" count="1" selected="0">
            <x v="1"/>
          </reference>
          <reference field="5" count="1" selected="0">
            <x v="2"/>
          </reference>
        </references>
      </pivotArea>
    </chartFormat>
    <chartFormat chart="6" format="8">
      <pivotArea type="data" outline="0" fieldPosition="0">
        <references count="3">
          <reference field="4294967294" count="1" selected="0">
            <x v="1"/>
          </reference>
          <reference field="3" count="1" selected="0">
            <x v="2"/>
          </reference>
          <reference field="5" count="1" selected="0">
            <x v="2"/>
          </reference>
        </references>
      </pivotArea>
    </chartFormat>
    <chartFormat chart="6" format="9">
      <pivotArea type="data" outline="0" fieldPosition="0">
        <references count="3">
          <reference field="4294967294" count="1" selected="0">
            <x v="1"/>
          </reference>
          <reference field="3" count="1" selected="0">
            <x v="3"/>
          </reference>
          <reference field="5" count="1" selected="0">
            <x v="2"/>
          </reference>
        </references>
      </pivotArea>
    </chartFormat>
    <chartFormat chart="6" format="10">
      <pivotArea type="data" outline="0" fieldPosition="0">
        <references count="3">
          <reference field="4294967294" count="1" selected="0">
            <x v="1"/>
          </reference>
          <reference field="3" count="1" selected="0">
            <x v="4"/>
          </reference>
          <reference field="5" count="1" selected="0">
            <x v="2"/>
          </reference>
        </references>
      </pivotArea>
    </chartFormat>
    <chartFormat chart="6" format="11">
      <pivotArea type="data" outline="0" fieldPosition="0">
        <references count="3">
          <reference field="4294967294" count="1" selected="0">
            <x v="1"/>
          </reference>
          <reference field="3" count="1" selected="0">
            <x v="6"/>
          </reference>
          <reference field="5" count="1" selected="0">
            <x v="2"/>
          </reference>
        </references>
      </pivotArea>
    </chartFormat>
    <chartFormat chart="6" format="12">
      <pivotArea type="data" outline="0" fieldPosition="0">
        <references count="3">
          <reference field="4294967294" count="1" selected="0">
            <x v="1"/>
          </reference>
          <reference field="3" count="1" selected="0">
            <x v="7"/>
          </reference>
          <reference field="5" count="1" selected="0">
            <x v="2"/>
          </reference>
        </references>
      </pivotArea>
    </chartFormat>
    <chartFormat chart="6" format="13">
      <pivotArea type="data" outline="0" fieldPosition="0">
        <references count="3">
          <reference field="4294967294" count="1" selected="0">
            <x v="1"/>
          </reference>
          <reference field="3" count="1" selected="0">
            <x v="8"/>
          </reference>
          <reference field="5" count="1" selected="0">
            <x v="2"/>
          </reference>
        </references>
      </pivotArea>
    </chartFormat>
    <chartFormat chart="6" format="14">
      <pivotArea type="data" outline="0" fieldPosition="0">
        <references count="3">
          <reference field="4294967294" count="1" selected="0">
            <x v="1"/>
          </reference>
          <reference field="3" count="1" selected="0">
            <x v="10"/>
          </reference>
          <reference field="5" count="1" selected="0">
            <x v="2"/>
          </reference>
        </references>
      </pivotArea>
    </chartFormat>
    <chartFormat chart="6" format="15">
      <pivotArea type="data" outline="0" fieldPosition="0">
        <references count="3">
          <reference field="4294967294" count="1" selected="0">
            <x v="0"/>
          </reference>
          <reference field="3" count="1" selected="0">
            <x v="8"/>
          </reference>
          <reference field="5" count="1" selected="0">
            <x v="2"/>
          </reference>
        </references>
      </pivotArea>
    </chartFormat>
    <chartFormat chart="6" format="16">
      <pivotArea type="data" outline="0" fieldPosition="0">
        <references count="3">
          <reference field="4294967294" count="1" selected="0">
            <x v="0"/>
          </reference>
          <reference field="3" count="1" selected="0">
            <x v="10"/>
          </reference>
          <reference field="5" count="1" selected="0">
            <x v="1"/>
          </reference>
        </references>
      </pivotArea>
    </chartFormat>
    <chartFormat chart="6" format="17">
      <pivotArea type="data" outline="0" fieldPosition="0">
        <references count="3">
          <reference field="4294967294" count="1" selected="0">
            <x v="0"/>
          </reference>
          <reference field="3" count="1" selected="0">
            <x v="10"/>
          </reference>
          <reference field="5" count="1" selected="0">
            <x v="2"/>
          </reference>
        </references>
      </pivotArea>
    </chartFormat>
  </chartFormats>
  <pivotTableStyleInfo name="PivotStyleLight2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6988AEE5-6D9B-475B-9F9C-0BA50CFE3A05}" autoFormatId="16" applyNumberFormats="0" applyBorderFormats="0" applyFontFormats="0" applyPatternFormats="0" applyAlignmentFormats="0" applyWidthHeightFormats="0">
  <queryTableRefresh nextId="866">
    <queryTableFields count="23">
      <queryTableField id="1" name="mom_id" tableColumnId="1"/>
      <queryTableField id="844" name="2022-Jan" tableColumnId="844"/>
      <queryTableField id="845" name="2022-Feb" tableColumnId="845"/>
      <queryTableField id="846" name="2022-Mar" tableColumnId="846"/>
      <queryTableField id="847" name="2022-Apr" tableColumnId="847"/>
      <queryTableField id="848" name="2022-May" tableColumnId="848"/>
      <queryTableField id="849" name="2022-Jun" tableColumnId="849"/>
      <queryTableField id="850" name="2022-Jul" tableColumnId="850"/>
      <queryTableField id="851" name="2022-Aug" tableColumnId="851"/>
      <queryTableField id="852" name="2022-Sep" tableColumnId="852"/>
      <queryTableField id="853" name="2022-Oct" tableColumnId="853"/>
      <queryTableField id="854" name="2022-Nov" tableColumnId="854"/>
      <queryTableField id="855" name="2022-Dec" tableColumnId="855"/>
      <queryTableField id="856" name="2023-Jan" tableColumnId="856"/>
      <queryTableField id="857" name="2023-Feb" tableColumnId="857"/>
      <queryTableField id="858" name="2023-Mar" tableColumnId="858"/>
      <queryTableField id="859" name="2023-Apr" tableColumnId="859"/>
      <queryTableField id="860" name="2023-May" tableColumnId="860"/>
      <queryTableField id="861" name="2023-Jun" tableColumnId="861"/>
      <queryTableField id="862" name="2023-Jul" tableColumnId="862"/>
      <queryTableField id="863" name="2023-Aug" tableColumnId="863"/>
      <queryTableField id="864" name="2023-Sep" tableColumnId="864"/>
      <queryTableField id="865" name="2023-Oct" tableColumnId="86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61316D9-5120-49B3-AA1F-5BC582B07286}" autoFormatId="16" applyNumberFormats="0" applyBorderFormats="0" applyFontFormats="0" applyPatternFormats="0" applyAlignmentFormats="0" applyWidthHeightFormats="0">
  <queryTableRefresh nextId="8" unboundColumnsRight="1">
    <queryTableFields count="4">
      <queryTableField id="1" name="date" tableColumnId="1"/>
      <queryTableField id="7" dataBound="0" tableColumnId="7"/>
      <queryTableField id="5" name="WPI" tableColumnId="5"/>
      <queryTableField id="6" dataBound="0" tableColumnId="6"/>
    </queryTableFields>
    <queryTableDeletedFields count="3">
      <deletedField name="III   MANUFACTURED PRODUCTS"/>
      <deletedField name="II FUEL &amp; POWER"/>
      <deletedField name="I    PRIMARY ARTICLES"/>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4511538-B0D0-45D4-9ABB-F3EF66AC4D6E}" sourceName="Months (Date)">
  <pivotTables>
    <pivotTable tabId="7" name="Q1-commodity"/>
  </pivotTables>
  <data>
    <tabular pivotCacheId="1314718029">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5726372-CC7A-4934-997E-3EFC9BC61267}" sourceName="Years (Date)">
  <pivotTables>
    <pivotTable tabId="7" name="Q1-commodity"/>
  </pivotTables>
  <data>
    <tabular pivotCacheId="1314718029">
      <items count="4">
        <i x="1" s="1"/>
        <i x="2" s="1"/>
        <i x="0"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3DF885A2-82BC-4D3A-A0FC-05FB11EDB271}" sourceName="Months (Date)">
  <pivotTables>
    <pivotTable tabId="7" name="Q1-category"/>
  </pivotTables>
  <data>
    <tabular pivotCacheId="1314718029">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1" xr10:uid="{3AF5F089-141C-4323-AA38-40377658CAD5}" sourceName="Years (Date)">
  <pivotTables>
    <pivotTable tabId="7" name="Q1-category"/>
  </pivotTables>
  <data>
    <tabular pivotCacheId="1314718029">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361F342A-7C66-4BBD-BD41-15A0BC1CD195}" cache="Slicer_Months__Date" caption="Months (Date)" rowHeight="251883"/>
  <slicer name="Years (Date)" xr10:uid="{33B4895F-7C0F-4475-AEB0-667EA8AEDB1C}" cache="Slicer_Years__Date" caption="Years (Date)" rowHeight="251883"/>
  <slicer name="Months (Date) 1" xr10:uid="{4F8D644F-DBAE-4247-8E73-1003968D9B4D}" cache="Slicer_Months__Date1" caption="Months (Date)" rowHeight="251883"/>
  <slicer name="Years (Date) 1" xr10:uid="{0C568C72-168F-449F-949C-1D3690709E4C}" cache="Slicer_Years__Date1" caption="Years (D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2635107-F301-4F82-AB78-BBD929CA86AA}" name="wpi_data_prepped" displayName="wpi_data_prepped" ref="A1:W842" tableType="queryTable" totalsRowShown="0">
  <autoFilter ref="A1:W842" xr:uid="{32635107-F301-4F82-AB78-BBD929CA86AA}"/>
  <tableColumns count="23">
    <tableColumn id="1" xr3:uid="{FC7A0F7E-3C45-4496-8996-E810287D3561}" uniqueName="1" name="category/commodity" queryTableFieldId="1" dataDxfId="23"/>
    <tableColumn id="844" xr3:uid="{DCBAF2CF-0797-449C-9B7C-E9C65ABF1C77}" uniqueName="844" name="2022-Jan" queryTableFieldId="844"/>
    <tableColumn id="845" xr3:uid="{6F5AC23F-C251-441D-BBF7-FB2846EAF303}" uniqueName="845" name="2022-Feb" queryTableFieldId="845"/>
    <tableColumn id="846" xr3:uid="{5B845360-7A5D-4E99-8CD7-EFA7D51809BE}" uniqueName="846" name="2022-Mar" queryTableFieldId="846"/>
    <tableColumn id="847" xr3:uid="{B7C865FF-6BEA-41D7-851C-6527E3D2BF69}" uniqueName="847" name="2022-Apr" queryTableFieldId="847"/>
    <tableColumn id="848" xr3:uid="{06934A2E-DE8B-4E49-B2C2-1DBC68C3A47C}" uniqueName="848" name="2022-May" queryTableFieldId="848"/>
    <tableColumn id="849" xr3:uid="{9EF8D3C5-E68E-47F5-B027-0EA6B30FBBDD}" uniqueName="849" name="2022-Jun" queryTableFieldId="849"/>
    <tableColumn id="850" xr3:uid="{E6E2005A-C3E0-41A9-8DC0-1DBC75E6AA4C}" uniqueName="850" name="2022-Jul" queryTableFieldId="850"/>
    <tableColumn id="851" xr3:uid="{9FC2A09B-50E4-4129-9DF8-B43008273D83}" uniqueName="851" name="2022-Aug" queryTableFieldId="851"/>
    <tableColumn id="852" xr3:uid="{6670F7AC-DBCA-458F-A8E8-7E619E731B2F}" uniqueName="852" name="2022-Sep" queryTableFieldId="852"/>
    <tableColumn id="853" xr3:uid="{C8923F6E-D910-44EF-8D2E-228D14A0D3FB}" uniqueName="853" name="2022-Oct" queryTableFieldId="853"/>
    <tableColumn id="854" xr3:uid="{85816C1E-8339-4CB3-8739-62ECD7C8B689}" uniqueName="854" name="2022-Nov" queryTableFieldId="854"/>
    <tableColumn id="855" xr3:uid="{12856042-7AA0-4699-B81C-3DF4B9F4099B}" uniqueName="855" name="2022-Dec" queryTableFieldId="855"/>
    <tableColumn id="856" xr3:uid="{1ED5AB63-AC58-4782-924B-B5D01379DE5B}" uniqueName="856" name="2023-Jan" queryTableFieldId="856"/>
    <tableColumn id="857" xr3:uid="{049A7B26-56A9-4014-843B-52AA558343E4}" uniqueName="857" name="2023-Feb" queryTableFieldId="857"/>
    <tableColumn id="858" xr3:uid="{D4587938-8048-447A-8684-474DB0019B79}" uniqueName="858" name="2023-Mar" queryTableFieldId="858"/>
    <tableColumn id="859" xr3:uid="{76128F7E-57A3-4DED-AA5D-AA07241843B4}" uniqueName="859" name="2023-Apr" queryTableFieldId="859"/>
    <tableColumn id="860" xr3:uid="{B23B73DA-F875-45C9-B06A-E9EA1C3380B2}" uniqueName="860" name="2023-May" queryTableFieldId="860"/>
    <tableColumn id="861" xr3:uid="{881BBECB-81BD-4D79-8AA4-E3D816EA3DA9}" uniqueName="861" name="2023-Jun" queryTableFieldId="861"/>
    <tableColumn id="862" xr3:uid="{71A388BC-7B43-45E6-A715-4A573F90C016}" uniqueName="862" name="2023-Jul" queryTableFieldId="862"/>
    <tableColumn id="863" xr3:uid="{1AF1CF2E-5C01-4A65-944B-C43B3E586B76}" uniqueName="863" name="2023-Aug" queryTableFieldId="863"/>
    <tableColumn id="864" xr3:uid="{05B328B7-BB66-4E47-9285-669F5760EFAB}" uniqueName="864" name="2023-Sep" queryTableFieldId="864"/>
    <tableColumn id="865" xr3:uid="{12A13A1D-EE88-4BC8-B475-7A595FBE0390}" uniqueName="865" name="2023-Oct" queryTableFieldId="8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C59CF9-2562-4D4E-B812-5B74019C62E7}" name="Q2_data" displayName="Q2_data" ref="A1:D140" tableType="queryTable" totalsRowShown="0">
  <autoFilter ref="A1:D140" xr:uid="{53C59CF9-2562-4D4E-B812-5B74019C62E7}"/>
  <tableColumns count="4">
    <tableColumn id="1" xr3:uid="{49773126-76B2-4E84-AC47-0C3B5C481FA3}" uniqueName="1" name="date" queryTableFieldId="1" dataDxfId="3"/>
    <tableColumn id="7" xr3:uid="{E1C3C820-39A2-4952-B0FB-71255EB5887B}" uniqueName="7" name="YEAR" queryTableFieldId="7" dataDxfId="2">
      <calculatedColumnFormula>YEAR(Q2_data[[#This Row],[date]])</calculatedColumnFormula>
    </tableColumn>
    <tableColumn id="5" xr3:uid="{D036519E-8523-412A-8B17-B83026939D50}" uniqueName="5" name="WPI" queryTableFieldId="5" dataDxfId="5"/>
    <tableColumn id="6" xr3:uid="{B6EF0696-83FB-49C0-8ADC-71A0E47D9DDE}" uniqueName="6" name="WPI MoM" queryTableFieldId="6" dataDxfId="4">
      <calculatedColumnFormula>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213F-806D-4F18-9454-B309F24FAD74}">
  <dimension ref="A1:AS1679"/>
  <sheetViews>
    <sheetView topLeftCell="F836" zoomScale="51" workbookViewId="0">
      <selection activeCell="R848" sqref="R848"/>
    </sheetView>
  </sheetViews>
  <sheetFormatPr defaultRowHeight="14.5" x14ac:dyDescent="0.35"/>
  <cols>
    <col min="1" max="1" width="63.08984375" bestFit="1" customWidth="1"/>
    <col min="2" max="2" width="10.453125" bestFit="1" customWidth="1"/>
    <col min="3" max="3" width="10.81640625" bestFit="1" customWidth="1"/>
    <col min="4" max="4" width="16.6328125" bestFit="1" customWidth="1"/>
    <col min="5" max="5" width="10.54296875" bestFit="1" customWidth="1"/>
    <col min="6" max="6" width="11.08984375" bestFit="1" customWidth="1"/>
    <col min="7" max="7" width="10.54296875" bestFit="1" customWidth="1"/>
    <col min="8" max="8" width="10" bestFit="1" customWidth="1"/>
    <col min="9" max="9" width="10.81640625" bestFit="1" customWidth="1"/>
    <col min="10" max="10" width="10.90625" bestFit="1" customWidth="1"/>
    <col min="11" max="11" width="10.6328125" bestFit="1" customWidth="1"/>
    <col min="12" max="12" width="10.90625" bestFit="1" customWidth="1"/>
    <col min="13" max="13" width="11" bestFit="1" customWidth="1"/>
    <col min="14" max="14" width="10.453125" bestFit="1" customWidth="1"/>
    <col min="15" max="16" width="10.81640625" bestFit="1" customWidth="1"/>
    <col min="17" max="17" width="10.54296875" bestFit="1" customWidth="1"/>
    <col min="18" max="18" width="11.08984375" bestFit="1" customWidth="1"/>
    <col min="19" max="19" width="10.54296875" bestFit="1" customWidth="1"/>
    <col min="20" max="20" width="10" bestFit="1" customWidth="1"/>
    <col min="21" max="21" width="14" bestFit="1" customWidth="1"/>
    <col min="22" max="25" width="8.1796875" bestFit="1" customWidth="1"/>
    <col min="26" max="26" width="19.08984375" bestFit="1" customWidth="1"/>
    <col min="27" max="27" width="32.1796875" bestFit="1" customWidth="1"/>
    <col min="28" max="28" width="34.90625" bestFit="1" customWidth="1"/>
    <col min="29" max="29" width="28.36328125" bestFit="1" customWidth="1"/>
    <col min="30" max="32" width="10.7265625" bestFit="1" customWidth="1"/>
    <col min="33" max="33" width="12.6328125" bestFit="1" customWidth="1"/>
    <col min="34" max="34" width="31.26953125" bestFit="1" customWidth="1"/>
    <col min="35" max="35" width="28.7265625" bestFit="1" customWidth="1"/>
    <col min="36" max="36" width="22.26953125" bestFit="1" customWidth="1"/>
    <col min="37" max="37" width="49.453125" bestFit="1" customWidth="1"/>
    <col min="38" max="38" width="10.54296875" bestFit="1" customWidth="1"/>
    <col min="39" max="39" width="24.1796875" bestFit="1" customWidth="1"/>
    <col min="40" max="40" width="28.6328125" bestFit="1" customWidth="1"/>
    <col min="41" max="41" width="57.7265625" bestFit="1" customWidth="1"/>
    <col min="42" max="42" width="28.08984375" bestFit="1" customWidth="1"/>
    <col min="43" max="43" width="38.1796875" bestFit="1" customWidth="1"/>
    <col min="44" max="44" width="41.36328125" bestFit="1" customWidth="1"/>
    <col min="45" max="49" width="10.7265625" bestFit="1" customWidth="1"/>
    <col min="50" max="50" width="26.1796875" bestFit="1" customWidth="1"/>
    <col min="51" max="71" width="10.7265625" bestFit="1" customWidth="1"/>
    <col min="72" max="72" width="21.7265625" bestFit="1" customWidth="1"/>
    <col min="73" max="93" width="10.7265625" bestFit="1" customWidth="1"/>
    <col min="94" max="94" width="29.6328125" bestFit="1" customWidth="1"/>
    <col min="95" max="95" width="31" bestFit="1" customWidth="1"/>
    <col min="96" max="96" width="26.54296875" bestFit="1" customWidth="1"/>
    <col min="97" max="97" width="63.6328125" bestFit="1" customWidth="1"/>
    <col min="98" max="98" width="15.7265625" bestFit="1" customWidth="1"/>
    <col min="99" max="99" width="41.7265625" bestFit="1" customWidth="1"/>
    <col min="100" max="100" width="25.36328125" bestFit="1" customWidth="1"/>
    <col min="101" max="101" width="17.26953125" bestFit="1" customWidth="1"/>
    <col min="102" max="102" width="23.36328125" bestFit="1" customWidth="1"/>
    <col min="103" max="103" width="14.54296875" bestFit="1" customWidth="1"/>
    <col min="104" max="104" width="54.26953125" bestFit="1" customWidth="1"/>
    <col min="105" max="105" width="19.90625" bestFit="1" customWidth="1"/>
    <col min="106" max="106" width="30.81640625" bestFit="1" customWidth="1"/>
    <col min="107" max="107" width="17.90625" bestFit="1" customWidth="1"/>
    <col min="108" max="108" width="9.90625" bestFit="1" customWidth="1"/>
    <col min="109" max="109" width="8.453125" bestFit="1" customWidth="1"/>
    <col min="110" max="110" width="10.26953125" bestFit="1" customWidth="1"/>
    <col min="111" max="111" width="19" bestFit="1" customWidth="1"/>
    <col min="112" max="112" width="16.36328125" bestFit="1" customWidth="1"/>
    <col min="113" max="113" width="16.453125" bestFit="1" customWidth="1"/>
    <col min="114" max="114" width="7.453125" bestFit="1" customWidth="1"/>
    <col min="115" max="115" width="43.1796875" bestFit="1" customWidth="1"/>
    <col min="116" max="116" width="18.54296875" bestFit="1" customWidth="1"/>
    <col min="117" max="117" width="26.6328125" bestFit="1" customWidth="1"/>
    <col min="118" max="118" width="23.54296875" bestFit="1" customWidth="1"/>
    <col min="119" max="119" width="29.08984375" bestFit="1" customWidth="1"/>
    <col min="120" max="120" width="10" bestFit="1" customWidth="1"/>
    <col min="121" max="121" width="50.08984375" bestFit="1" customWidth="1"/>
    <col min="122" max="122" width="13.08984375" bestFit="1" customWidth="1"/>
    <col min="123" max="123" width="19.54296875" bestFit="1" customWidth="1"/>
    <col min="124" max="124" width="17.6328125" bestFit="1" customWidth="1"/>
    <col min="125" max="125" width="34.6328125" bestFit="1" customWidth="1"/>
    <col min="126" max="126" width="28.453125" bestFit="1" customWidth="1"/>
    <col min="127" max="127" width="30.08984375" bestFit="1" customWidth="1"/>
    <col min="128" max="128" width="27.90625" bestFit="1" customWidth="1"/>
    <col min="129" max="129" width="23.36328125" bestFit="1" customWidth="1"/>
    <col min="130" max="130" width="51.7265625" bestFit="1" customWidth="1"/>
    <col min="131" max="131" width="12.7265625" bestFit="1" customWidth="1"/>
    <col min="132" max="132" width="36.7265625" bestFit="1" customWidth="1"/>
    <col min="133" max="133" width="11.08984375" bestFit="1" customWidth="1"/>
    <col min="134" max="134" width="18.81640625" bestFit="1" customWidth="1"/>
    <col min="135" max="135" width="16.6328125" bestFit="1" customWidth="1"/>
    <col min="136" max="136" width="11.90625" bestFit="1" customWidth="1"/>
    <col min="137" max="137" width="20.453125" bestFit="1" customWidth="1"/>
    <col min="138" max="138" width="59.6328125" bestFit="1" customWidth="1"/>
    <col min="139" max="139" width="13" bestFit="1" customWidth="1"/>
    <col min="140" max="140" width="22.6328125" bestFit="1" customWidth="1"/>
    <col min="141" max="141" width="16.26953125" bestFit="1" customWidth="1"/>
    <col min="142" max="142" width="24.08984375" bestFit="1" customWidth="1"/>
    <col min="143" max="143" width="34.7265625" bestFit="1" customWidth="1"/>
    <col min="144" max="144" width="13.7265625" bestFit="1" customWidth="1"/>
    <col min="145" max="145" width="15.54296875" bestFit="1" customWidth="1"/>
    <col min="146" max="146" width="10.6328125" bestFit="1" customWidth="1"/>
    <col min="147" max="147" width="14.36328125" bestFit="1" customWidth="1"/>
    <col min="148" max="148" width="48.36328125" bestFit="1" customWidth="1"/>
    <col min="149" max="149" width="38.453125" bestFit="1" customWidth="1"/>
    <col min="150" max="150" width="19" bestFit="1" customWidth="1"/>
    <col min="151" max="151" width="36.81640625" bestFit="1" customWidth="1"/>
    <col min="152" max="152" width="15.36328125" bestFit="1" customWidth="1"/>
    <col min="153" max="153" width="17" bestFit="1" customWidth="1"/>
    <col min="154" max="154" width="9.453125" bestFit="1" customWidth="1"/>
    <col min="155" max="155" width="31.6328125" bestFit="1" customWidth="1"/>
    <col min="156" max="156" width="36.81640625" bestFit="1" customWidth="1"/>
    <col min="157" max="157" width="28.453125" bestFit="1" customWidth="1"/>
    <col min="158" max="158" width="16.453125" bestFit="1" customWidth="1"/>
    <col min="159" max="159" width="50" bestFit="1" customWidth="1"/>
    <col min="160" max="160" width="34.453125" bestFit="1" customWidth="1"/>
    <col min="161" max="161" width="43.26953125" bestFit="1" customWidth="1"/>
    <col min="162" max="162" width="23.6328125" bestFit="1" customWidth="1"/>
    <col min="163" max="163" width="12.36328125" bestFit="1" customWidth="1"/>
    <col min="164" max="164" width="34.08984375" bestFit="1" customWidth="1"/>
    <col min="165" max="165" width="40.08984375" bestFit="1" customWidth="1"/>
    <col min="166" max="166" width="13.08984375" bestFit="1" customWidth="1"/>
    <col min="167" max="167" width="15.453125" bestFit="1" customWidth="1"/>
    <col min="168" max="168" width="6.1796875" bestFit="1" customWidth="1"/>
    <col min="169" max="169" width="24.36328125" bestFit="1" customWidth="1"/>
    <col min="170" max="170" width="16.54296875" bestFit="1" customWidth="1"/>
    <col min="171" max="171" width="13.26953125" bestFit="1" customWidth="1"/>
    <col min="172" max="172" width="49.1796875" bestFit="1" customWidth="1"/>
    <col min="173" max="173" width="18" bestFit="1" customWidth="1"/>
    <col min="174" max="174" width="46.453125" bestFit="1" customWidth="1"/>
    <col min="175" max="175" width="21.1796875" bestFit="1" customWidth="1"/>
    <col min="176" max="176" width="14.453125" bestFit="1" customWidth="1"/>
    <col min="177" max="177" width="14.54296875" bestFit="1" customWidth="1"/>
    <col min="178" max="178" width="22.90625" bestFit="1" customWidth="1"/>
    <col min="179" max="179" width="11.1796875" bestFit="1" customWidth="1"/>
    <col min="181" max="181" width="21.36328125" bestFit="1" customWidth="1"/>
    <col min="182" max="182" width="37.7265625" bestFit="1" customWidth="1"/>
    <col min="183" max="183" width="29" bestFit="1" customWidth="1"/>
    <col min="184" max="184" width="17.54296875" bestFit="1" customWidth="1"/>
    <col min="185" max="185" width="19.08984375" bestFit="1" customWidth="1"/>
    <col min="186" max="186" width="18" bestFit="1" customWidth="1"/>
    <col min="187" max="187" width="15.36328125" bestFit="1" customWidth="1"/>
    <col min="188" max="188" width="22.26953125" bestFit="1" customWidth="1"/>
    <col min="189" max="189" width="49" bestFit="1" customWidth="1"/>
    <col min="190" max="190" width="49.54296875" bestFit="1" customWidth="1"/>
    <col min="191" max="191" width="29" bestFit="1" customWidth="1"/>
    <col min="192" max="192" width="43.36328125" bestFit="1" customWidth="1"/>
    <col min="193" max="193" width="19.6328125" bestFit="1" customWidth="1"/>
    <col min="194" max="194" width="12.7265625" bestFit="1" customWidth="1"/>
    <col min="195" max="195" width="9.90625" bestFit="1" customWidth="1"/>
    <col min="196" max="196" width="14.453125" bestFit="1" customWidth="1"/>
    <col min="197" max="197" width="56.7265625" bestFit="1" customWidth="1"/>
    <col min="198" max="198" width="16.7265625" bestFit="1" customWidth="1"/>
    <col min="199" max="199" width="20.08984375" bestFit="1" customWidth="1"/>
    <col min="200" max="200" width="12.453125" bestFit="1" customWidth="1"/>
    <col min="201" max="201" width="7.54296875" bestFit="1" customWidth="1"/>
    <col min="202" max="202" width="7.08984375" bestFit="1" customWidth="1"/>
    <col min="203" max="203" width="8.453125" bestFit="1" customWidth="1"/>
    <col min="204" max="204" width="10.453125" bestFit="1" customWidth="1"/>
    <col min="205" max="205" width="8.26953125" bestFit="1" customWidth="1"/>
    <col min="206" max="206" width="14.6328125" bestFit="1" customWidth="1"/>
    <col min="207" max="207" width="8.54296875" bestFit="1" customWidth="1"/>
    <col min="208" max="208" width="7.36328125" bestFit="1" customWidth="1"/>
    <col min="209" max="209" width="21.08984375" bestFit="1" customWidth="1"/>
    <col min="210" max="210" width="12.6328125" bestFit="1" customWidth="1"/>
    <col min="211" max="211" width="9" bestFit="1" customWidth="1"/>
    <col min="212" max="212" width="21.36328125" bestFit="1" customWidth="1"/>
    <col min="213" max="213" width="16.453125" bestFit="1" customWidth="1"/>
    <col min="214" max="214" width="10.36328125" bestFit="1" customWidth="1"/>
    <col min="215" max="215" width="13.08984375" bestFit="1" customWidth="1"/>
    <col min="216" max="216" width="29.36328125" bestFit="1" customWidth="1"/>
    <col min="217" max="217" width="9.36328125" bestFit="1" customWidth="1"/>
    <col min="218" max="218" width="9.6328125" bestFit="1" customWidth="1"/>
    <col min="219" max="219" width="13.1796875" bestFit="1" customWidth="1"/>
    <col min="221" max="221" width="12.81640625" bestFit="1" customWidth="1"/>
    <col min="222" max="222" width="13.08984375" bestFit="1" customWidth="1"/>
    <col min="223" max="223" width="19.26953125" bestFit="1" customWidth="1"/>
    <col min="224" max="224" width="53.54296875" bestFit="1" customWidth="1"/>
    <col min="225" max="225" width="10.6328125" bestFit="1" customWidth="1"/>
    <col min="226" max="226" width="18.08984375" bestFit="1" customWidth="1"/>
    <col min="227" max="227" width="10.1796875" bestFit="1" customWidth="1"/>
    <col min="228" max="228" width="10.81640625" bestFit="1" customWidth="1"/>
    <col min="229" max="229" width="30" bestFit="1" customWidth="1"/>
    <col min="230" max="230" width="33.81640625" bestFit="1" customWidth="1"/>
    <col min="231" max="231" width="26.7265625" bestFit="1" customWidth="1"/>
    <col min="232" max="232" width="32.26953125" bestFit="1" customWidth="1"/>
    <col min="233" max="233" width="33.6328125" bestFit="1" customWidth="1"/>
    <col min="234" max="234" width="46.26953125" bestFit="1" customWidth="1"/>
    <col min="235" max="235" width="11.1796875" bestFit="1" customWidth="1"/>
    <col min="236" max="236" width="11.453125" bestFit="1" customWidth="1"/>
    <col min="237" max="237" width="14.81640625" bestFit="1" customWidth="1"/>
    <col min="238" max="238" width="16.6328125" bestFit="1" customWidth="1"/>
    <col min="239" max="239" width="7.453125" bestFit="1" customWidth="1"/>
    <col min="240" max="240" width="38.453125" bestFit="1" customWidth="1"/>
    <col min="241" max="241" width="6.08984375" bestFit="1" customWidth="1"/>
    <col min="242" max="242" width="8.36328125" bestFit="1" customWidth="1"/>
    <col min="243" max="243" width="33.7265625" bestFit="1" customWidth="1"/>
    <col min="244" max="244" width="15" bestFit="1" customWidth="1"/>
    <col min="245" max="245" width="14.90625" bestFit="1" customWidth="1"/>
    <col min="246" max="246" width="43.26953125" bestFit="1" customWidth="1"/>
    <col min="247" max="247" width="45.1796875" bestFit="1" customWidth="1"/>
    <col min="248" max="248" width="35.36328125" bestFit="1" customWidth="1"/>
    <col min="249" max="249" width="12" bestFit="1" customWidth="1"/>
    <col min="250" max="250" width="14.26953125" bestFit="1" customWidth="1"/>
    <col min="251" max="251" width="17.26953125" bestFit="1" customWidth="1"/>
    <col min="252" max="252" width="32.453125" bestFit="1" customWidth="1"/>
    <col min="253" max="253" width="54.7265625" bestFit="1" customWidth="1"/>
    <col min="254" max="254" width="20" bestFit="1" customWidth="1"/>
    <col min="255" max="255" width="10.36328125" bestFit="1" customWidth="1"/>
    <col min="256" max="256" width="12.36328125" bestFit="1" customWidth="1"/>
    <col min="257" max="257" width="38.453125" bestFit="1" customWidth="1"/>
    <col min="258" max="258" width="55.1796875" bestFit="1" customWidth="1"/>
    <col min="259" max="259" width="28.54296875" bestFit="1" customWidth="1"/>
    <col min="260" max="260" width="51.7265625" bestFit="1" customWidth="1"/>
    <col min="261" max="261" width="17.08984375" bestFit="1" customWidth="1"/>
    <col min="262" max="262" width="13.90625" bestFit="1" customWidth="1"/>
    <col min="263" max="263" width="33.7265625" bestFit="1" customWidth="1"/>
    <col min="264" max="264" width="28.81640625" bestFit="1" customWidth="1"/>
    <col min="265" max="265" width="32.81640625" bestFit="1" customWidth="1"/>
    <col min="266" max="266" width="12.26953125" bestFit="1" customWidth="1"/>
    <col min="267" max="267" width="32.08984375" bestFit="1" customWidth="1"/>
    <col min="268" max="268" width="14.6328125" bestFit="1" customWidth="1"/>
    <col min="269" max="269" width="32.81640625" bestFit="1" customWidth="1"/>
    <col min="270" max="270" width="32.6328125" bestFit="1" customWidth="1"/>
    <col min="271" max="271" width="11.81640625" bestFit="1" customWidth="1"/>
    <col min="272" max="272" width="15.453125" bestFit="1" customWidth="1"/>
    <col min="273" max="273" width="24.453125" bestFit="1" customWidth="1"/>
    <col min="274" max="274" width="20.7265625" bestFit="1" customWidth="1"/>
    <col min="275" max="275" width="27" bestFit="1" customWidth="1"/>
    <col min="276" max="276" width="55.36328125" bestFit="1" customWidth="1"/>
    <col min="277" max="277" width="19.36328125" bestFit="1" customWidth="1"/>
    <col min="278" max="278" width="24.08984375" bestFit="1" customWidth="1"/>
    <col min="279" max="279" width="11.08984375" bestFit="1" customWidth="1"/>
    <col min="280" max="280" width="16.90625" bestFit="1" customWidth="1"/>
    <col min="281" max="281" width="16.6328125" bestFit="1" customWidth="1"/>
    <col min="282" max="282" width="11" bestFit="1" customWidth="1"/>
    <col min="283" max="283" width="11.81640625" bestFit="1" customWidth="1"/>
    <col min="284" max="284" width="10.1796875" bestFit="1" customWidth="1"/>
    <col min="285" max="285" width="33.81640625" bestFit="1" customWidth="1"/>
    <col min="286" max="286" width="21.90625" bestFit="1" customWidth="1"/>
    <col min="287" max="287" width="13.08984375" bestFit="1" customWidth="1"/>
    <col min="288" max="288" width="18.08984375" bestFit="1" customWidth="1"/>
    <col min="289" max="289" width="16.81640625" bestFit="1" customWidth="1"/>
    <col min="290" max="290" width="19.08984375" bestFit="1" customWidth="1"/>
    <col min="291" max="291" width="25.7265625" bestFit="1" customWidth="1"/>
    <col min="292" max="292" width="25" bestFit="1" customWidth="1"/>
    <col min="293" max="293" width="7.81640625" bestFit="1" customWidth="1"/>
    <col min="294" max="294" width="22.453125" bestFit="1" customWidth="1"/>
    <col min="295" max="295" width="25.81640625" bestFit="1" customWidth="1"/>
    <col min="296" max="296" width="15.36328125" bestFit="1" customWidth="1"/>
    <col min="297" max="297" width="12.54296875" bestFit="1" customWidth="1"/>
    <col min="298" max="298" width="12.1796875" bestFit="1" customWidth="1"/>
    <col min="299" max="299" width="20.08984375" bestFit="1" customWidth="1"/>
    <col min="300" max="300" width="26.81640625" bestFit="1" customWidth="1"/>
    <col min="301" max="301" width="25.81640625" bestFit="1" customWidth="1"/>
    <col min="302" max="302" width="24.7265625" bestFit="1" customWidth="1"/>
    <col min="303" max="303" width="13.1796875" bestFit="1" customWidth="1"/>
    <col min="304" max="304" width="18.26953125" bestFit="1" customWidth="1"/>
    <col min="305" max="305" width="37.453125" bestFit="1" customWidth="1"/>
    <col min="306" max="306" width="49" bestFit="1" customWidth="1"/>
    <col min="307" max="307" width="25.26953125" bestFit="1" customWidth="1"/>
    <col min="308" max="308" width="35.26953125" bestFit="1" customWidth="1"/>
    <col min="309" max="309" width="38.453125" bestFit="1" customWidth="1"/>
    <col min="310" max="310" width="21.1796875" bestFit="1" customWidth="1"/>
    <col min="311" max="311" width="26.54296875" bestFit="1" customWidth="1"/>
    <col min="312" max="312" width="13" bestFit="1" customWidth="1"/>
    <col min="313" max="313" width="30.6328125" bestFit="1" customWidth="1"/>
    <col min="314" max="314" width="16.36328125" bestFit="1" customWidth="1"/>
    <col min="315" max="315" width="22.54296875" bestFit="1" customWidth="1"/>
    <col min="316" max="316" width="19.90625" bestFit="1" customWidth="1"/>
    <col min="317" max="317" width="14.453125" bestFit="1" customWidth="1"/>
    <col min="318" max="318" width="14.6328125" bestFit="1" customWidth="1"/>
    <col min="319" max="319" width="28.08984375" bestFit="1" customWidth="1"/>
    <col min="320" max="320" width="12.1796875" bestFit="1" customWidth="1"/>
    <col min="321" max="321" width="46.453125" bestFit="1" customWidth="1"/>
    <col min="322" max="322" width="17" bestFit="1" customWidth="1"/>
    <col min="323" max="323" width="13.1796875" bestFit="1" customWidth="1"/>
    <col min="324" max="324" width="10.90625" bestFit="1" customWidth="1"/>
    <col min="325" max="325" width="22.08984375" bestFit="1" customWidth="1"/>
    <col min="326" max="326" width="12.90625" bestFit="1" customWidth="1"/>
    <col min="327" max="327" width="17.90625" bestFit="1" customWidth="1"/>
    <col min="328" max="328" width="23.81640625" bestFit="1" customWidth="1"/>
    <col min="329" max="329" width="20.6328125" bestFit="1" customWidth="1"/>
    <col min="330" max="330" width="26.7265625" bestFit="1" customWidth="1"/>
    <col min="331" max="331" width="12.08984375" bestFit="1" customWidth="1"/>
    <col min="332" max="332" width="37.54296875" bestFit="1" customWidth="1"/>
    <col min="333" max="333" width="15.90625" bestFit="1" customWidth="1"/>
    <col min="334" max="334" width="54.81640625" bestFit="1" customWidth="1"/>
    <col min="335" max="335" width="45.81640625" bestFit="1" customWidth="1"/>
    <col min="336" max="336" width="47.453125" bestFit="1" customWidth="1"/>
    <col min="337" max="337" width="54.453125" bestFit="1" customWidth="1"/>
    <col min="338" max="338" width="8.6328125" bestFit="1" customWidth="1"/>
    <col min="339" max="339" width="45.54296875" bestFit="1" customWidth="1"/>
    <col min="340" max="340" width="16.36328125" bestFit="1" customWidth="1"/>
    <col min="341" max="341" width="35.26953125" bestFit="1" customWidth="1"/>
    <col min="342" max="342" width="19" bestFit="1" customWidth="1"/>
    <col min="343" max="343" width="12" bestFit="1" customWidth="1"/>
    <col min="344" max="344" width="55.1796875" bestFit="1" customWidth="1"/>
    <col min="345" max="345" width="30.6328125" bestFit="1" customWidth="1"/>
    <col min="346" max="346" width="52.36328125" bestFit="1" customWidth="1"/>
    <col min="347" max="347" width="17" bestFit="1" customWidth="1"/>
    <col min="348" max="348" width="22.36328125" bestFit="1" customWidth="1"/>
    <col min="349" max="349" width="15.453125" bestFit="1" customWidth="1"/>
    <col min="350" max="350" width="23.6328125" bestFit="1" customWidth="1"/>
    <col min="351" max="351" width="9.6328125" bestFit="1" customWidth="1"/>
    <col min="352" max="352" width="42.6328125" bestFit="1" customWidth="1"/>
    <col min="353" max="353" width="40.54296875" bestFit="1" customWidth="1"/>
    <col min="354" max="354" width="25.6328125" bestFit="1" customWidth="1"/>
    <col min="355" max="355" width="17.7265625" bestFit="1" customWidth="1"/>
    <col min="356" max="356" width="42.6328125" bestFit="1" customWidth="1"/>
    <col min="357" max="357" width="51.81640625" bestFit="1" customWidth="1"/>
    <col min="358" max="358" width="16.6328125" bestFit="1" customWidth="1"/>
    <col min="359" max="359" width="15.54296875" bestFit="1" customWidth="1"/>
    <col min="360" max="360" width="34.08984375" bestFit="1" customWidth="1"/>
    <col min="361" max="362" width="8.26953125" bestFit="1" customWidth="1"/>
    <col min="363" max="363" width="9.6328125" bestFit="1" customWidth="1"/>
    <col min="364" max="364" width="8.90625" bestFit="1" customWidth="1"/>
    <col min="365" max="365" width="11.90625" bestFit="1" customWidth="1"/>
    <col min="366" max="366" width="10.6328125" bestFit="1" customWidth="1"/>
    <col min="367" max="367" width="10.26953125" bestFit="1" customWidth="1"/>
    <col min="368" max="368" width="6.81640625" bestFit="1" customWidth="1"/>
    <col min="369" max="369" width="13" bestFit="1" customWidth="1"/>
    <col min="370" max="370" width="10.54296875" bestFit="1" customWidth="1"/>
    <col min="371" max="371" width="12.36328125" bestFit="1" customWidth="1"/>
    <col min="372" max="372" width="13" bestFit="1" customWidth="1"/>
    <col min="374" max="374" width="6" bestFit="1" customWidth="1"/>
    <col min="375" max="375" width="8.6328125" bestFit="1" customWidth="1"/>
    <col min="376" max="376" width="8.08984375" bestFit="1" customWidth="1"/>
    <col min="377" max="377" width="16.7265625" bestFit="1" customWidth="1"/>
    <col min="378" max="378" width="12" bestFit="1" customWidth="1"/>
    <col min="379" max="379" width="11.54296875" bestFit="1" customWidth="1"/>
    <col min="380" max="380" width="13.08984375" bestFit="1" customWidth="1"/>
    <col min="381" max="381" width="12.90625" bestFit="1" customWidth="1"/>
    <col min="382" max="382" width="9.90625" bestFit="1" customWidth="1"/>
    <col min="383" max="383" width="10.90625" bestFit="1" customWidth="1"/>
    <col min="384" max="384" width="11.81640625" bestFit="1" customWidth="1"/>
    <col min="385" max="385" width="17.26953125" bestFit="1" customWidth="1"/>
    <col min="386" max="386" width="6.36328125" bestFit="1" customWidth="1"/>
    <col min="387" max="387" width="10.81640625" bestFit="1" customWidth="1"/>
    <col min="388" max="388" width="10.26953125" bestFit="1" customWidth="1"/>
    <col min="389" max="389" width="17.26953125" bestFit="1" customWidth="1"/>
    <col min="390" max="390" width="34.54296875" bestFit="1" customWidth="1"/>
    <col min="391" max="391" width="14" bestFit="1" customWidth="1"/>
    <col min="392" max="392" width="11.26953125" bestFit="1" customWidth="1"/>
    <col min="393" max="393" width="10.08984375" bestFit="1" customWidth="1"/>
    <col min="394" max="394" width="12.6328125" bestFit="1" customWidth="1"/>
    <col min="395" max="395" width="21.08984375" bestFit="1" customWidth="1"/>
    <col min="396" max="396" width="18.6328125" bestFit="1" customWidth="1"/>
    <col min="397" max="397" width="24.6328125" bestFit="1" customWidth="1"/>
    <col min="398" max="398" width="7.81640625" bestFit="1" customWidth="1"/>
    <col min="399" max="399" width="36.26953125" bestFit="1" customWidth="1"/>
    <col min="400" max="400" width="6.36328125" bestFit="1" customWidth="1"/>
    <col min="401" max="401" width="24.81640625" bestFit="1" customWidth="1"/>
    <col min="402" max="402" width="30.453125" bestFit="1" customWidth="1"/>
    <col min="403" max="403" width="8.54296875" bestFit="1" customWidth="1"/>
    <col min="404" max="404" width="7.36328125" bestFit="1" customWidth="1"/>
    <col min="405" max="405" width="15.54296875" bestFit="1" customWidth="1"/>
    <col min="406" max="406" width="50.54296875" bestFit="1" customWidth="1"/>
    <col min="407" max="407" width="5.90625" bestFit="1" customWidth="1"/>
    <col min="408" max="408" width="22.81640625" bestFit="1" customWidth="1"/>
    <col min="409" max="409" width="15.1796875" bestFit="1" customWidth="1"/>
    <col min="410" max="410" width="30.7265625" bestFit="1" customWidth="1"/>
    <col min="411" max="411" width="19.26953125" bestFit="1" customWidth="1"/>
    <col min="412" max="412" width="20.26953125" bestFit="1" customWidth="1"/>
    <col min="413" max="413" width="39.81640625" bestFit="1" customWidth="1"/>
    <col min="414" max="414" width="23.36328125" bestFit="1" customWidth="1"/>
    <col min="415" max="415" width="20" bestFit="1" customWidth="1"/>
    <col min="416" max="416" width="8.08984375" bestFit="1" customWidth="1"/>
    <col min="417" max="417" width="10.26953125" bestFit="1" customWidth="1"/>
    <col min="418" max="418" width="45.36328125" bestFit="1" customWidth="1"/>
    <col min="419" max="419" width="39.54296875" bestFit="1" customWidth="1"/>
    <col min="420" max="420" width="45.1796875" bestFit="1" customWidth="1"/>
    <col min="421" max="421" width="26.54296875" bestFit="1" customWidth="1"/>
    <col min="422" max="422" width="23.08984375" bestFit="1" customWidth="1"/>
    <col min="423" max="423" width="53.08984375" bestFit="1" customWidth="1"/>
    <col min="424" max="424" width="37.08984375" bestFit="1" customWidth="1"/>
    <col min="425" max="425" width="28.6328125" bestFit="1" customWidth="1"/>
    <col min="426" max="426" width="36" bestFit="1" customWidth="1"/>
    <col min="427" max="427" width="25.54296875" bestFit="1" customWidth="1"/>
    <col min="428" max="428" width="29.08984375" bestFit="1" customWidth="1"/>
    <col min="429" max="429" width="21.36328125" bestFit="1" customWidth="1"/>
    <col min="430" max="430" width="43.54296875" bestFit="1" customWidth="1"/>
    <col min="431" max="431" width="32.08984375" bestFit="1" customWidth="1"/>
    <col min="432" max="432" width="18.36328125" bestFit="1" customWidth="1"/>
    <col min="433" max="433" width="11.6328125" bestFit="1" customWidth="1"/>
    <col min="434" max="434" width="12.81640625" bestFit="1" customWidth="1"/>
    <col min="435" max="435" width="17.453125" bestFit="1" customWidth="1"/>
    <col min="436" max="436" width="12.453125" bestFit="1" customWidth="1"/>
    <col min="437" max="437" width="30.90625" bestFit="1" customWidth="1"/>
    <col min="438" max="438" width="11.26953125" bestFit="1" customWidth="1"/>
    <col min="439" max="439" width="16.26953125" bestFit="1" customWidth="1"/>
    <col min="440" max="440" width="16.6328125" bestFit="1" customWidth="1"/>
    <col min="441" max="441" width="32.6328125" bestFit="1" customWidth="1"/>
    <col min="442" max="442" width="25.54296875" bestFit="1" customWidth="1"/>
    <col min="443" max="443" width="47.90625" bestFit="1" customWidth="1"/>
    <col min="444" max="444" width="15.54296875" bestFit="1" customWidth="1"/>
    <col min="445" max="445" width="22.26953125" bestFit="1" customWidth="1"/>
    <col min="446" max="446" width="55.54296875" bestFit="1" customWidth="1"/>
    <col min="447" max="447" width="12.08984375" bestFit="1" customWidth="1"/>
    <col min="448" max="448" width="10.6328125" bestFit="1" customWidth="1"/>
    <col min="449" max="449" width="15.6328125" bestFit="1" customWidth="1"/>
    <col min="450" max="450" width="38.81640625" bestFit="1" customWidth="1"/>
    <col min="451" max="451" width="24.36328125" bestFit="1" customWidth="1"/>
    <col min="452" max="452" width="18.7265625" bestFit="1" customWidth="1"/>
    <col min="453" max="453" width="13.81640625" bestFit="1" customWidth="1"/>
    <col min="454" max="454" width="18.6328125" bestFit="1" customWidth="1"/>
    <col min="455" max="455" width="45.1796875" bestFit="1" customWidth="1"/>
    <col min="456" max="456" width="17.08984375" bestFit="1" customWidth="1"/>
    <col min="457" max="457" width="9.90625" bestFit="1" customWidth="1"/>
    <col min="458" max="458" width="14.90625" bestFit="1" customWidth="1"/>
    <col min="459" max="459" width="16.7265625" bestFit="1" customWidth="1"/>
    <col min="460" max="460" width="38.26953125" bestFit="1" customWidth="1"/>
    <col min="461" max="461" width="26.453125" bestFit="1" customWidth="1"/>
    <col min="462" max="462" width="16.26953125" bestFit="1" customWidth="1"/>
    <col min="463" max="463" width="29.7265625" bestFit="1" customWidth="1"/>
    <col min="464" max="464" width="32.1796875" bestFit="1" customWidth="1"/>
    <col min="465" max="466" width="12.90625" bestFit="1" customWidth="1"/>
    <col min="467" max="467" width="38.81640625" bestFit="1" customWidth="1"/>
    <col min="468" max="468" width="21.26953125" bestFit="1" customWidth="1"/>
    <col min="469" max="469" width="39.26953125" bestFit="1" customWidth="1"/>
    <col min="470" max="470" width="27" bestFit="1" customWidth="1"/>
    <col min="471" max="471" width="13.453125" bestFit="1" customWidth="1"/>
    <col min="472" max="472" width="17.36328125" bestFit="1" customWidth="1"/>
    <col min="473" max="473" width="31.6328125" bestFit="1" customWidth="1"/>
    <col min="474" max="474" width="26.36328125" bestFit="1" customWidth="1"/>
    <col min="475" max="475" width="14.90625" bestFit="1" customWidth="1"/>
    <col min="476" max="476" width="25.90625" bestFit="1" customWidth="1"/>
    <col min="477" max="477" width="13.7265625" bestFit="1" customWidth="1"/>
    <col min="478" max="478" width="42.6328125" bestFit="1" customWidth="1"/>
    <col min="479" max="479" width="30.90625" bestFit="1" customWidth="1"/>
    <col min="480" max="480" width="34" bestFit="1" customWidth="1"/>
    <col min="481" max="481" width="17.6328125" bestFit="1" customWidth="1"/>
    <col min="482" max="482" width="11.81640625" bestFit="1" customWidth="1"/>
    <col min="483" max="483" width="18.54296875" bestFit="1" customWidth="1"/>
    <col min="484" max="484" width="19.90625" bestFit="1" customWidth="1"/>
    <col min="485" max="485" width="13.81640625" bestFit="1" customWidth="1"/>
    <col min="486" max="486" width="17.1796875" bestFit="1" customWidth="1"/>
    <col min="487" max="487" width="25.36328125" bestFit="1" customWidth="1"/>
    <col min="488" max="488" width="9.7265625" bestFit="1" customWidth="1"/>
    <col min="489" max="489" width="36.7265625" bestFit="1" customWidth="1"/>
    <col min="490" max="490" width="11" bestFit="1" customWidth="1"/>
    <col min="491" max="491" width="8.453125" bestFit="1" customWidth="1"/>
    <col min="492" max="492" width="14.453125" bestFit="1" customWidth="1"/>
    <col min="493" max="493" width="28.54296875" bestFit="1" customWidth="1"/>
    <col min="494" max="494" width="10.81640625" bestFit="1" customWidth="1"/>
    <col min="495" max="495" width="12.26953125" bestFit="1" customWidth="1"/>
    <col min="496" max="496" width="15.26953125" bestFit="1" customWidth="1"/>
    <col min="497" max="497" width="41.6328125" bestFit="1" customWidth="1"/>
    <col min="498" max="498" width="22.453125" bestFit="1" customWidth="1"/>
    <col min="499" max="499" width="16.36328125" bestFit="1" customWidth="1"/>
    <col min="500" max="500" width="25.26953125" bestFit="1" customWidth="1"/>
    <col min="501" max="501" width="19.26953125" bestFit="1" customWidth="1"/>
    <col min="502" max="502" width="35.08984375" bestFit="1" customWidth="1"/>
    <col min="503" max="503" width="16.453125" bestFit="1" customWidth="1"/>
    <col min="504" max="504" width="16.1796875" bestFit="1" customWidth="1"/>
    <col min="505" max="505" width="22.81640625" bestFit="1" customWidth="1"/>
    <col min="506" max="506" width="9.6328125" bestFit="1" customWidth="1"/>
    <col min="507" max="507" width="12" bestFit="1" customWidth="1"/>
    <col min="508" max="508" width="28.453125" bestFit="1" customWidth="1"/>
    <col min="509" max="509" width="12.08984375" bestFit="1" customWidth="1"/>
    <col min="510" max="510" width="23.453125" bestFit="1" customWidth="1"/>
    <col min="511" max="511" width="17" bestFit="1" customWidth="1"/>
    <col min="512" max="512" width="28.36328125" bestFit="1" customWidth="1"/>
    <col min="513" max="513" width="46.36328125" bestFit="1" customWidth="1"/>
    <col min="514" max="514" width="18.453125" bestFit="1" customWidth="1"/>
    <col min="515" max="515" width="40.26953125" bestFit="1" customWidth="1"/>
    <col min="517" max="517" width="49.81640625" bestFit="1" customWidth="1"/>
    <col min="518" max="518" width="8.08984375" bestFit="1" customWidth="1"/>
    <col min="519" max="519" width="14.7265625" bestFit="1" customWidth="1"/>
    <col min="520" max="520" width="25.36328125" bestFit="1" customWidth="1"/>
    <col min="521" max="521" width="17.90625" bestFit="1" customWidth="1"/>
    <col min="522" max="522" width="27.6328125" bestFit="1" customWidth="1"/>
    <col min="523" max="523" width="12.26953125" bestFit="1" customWidth="1"/>
    <col min="524" max="524" width="31.26953125" bestFit="1" customWidth="1"/>
    <col min="525" max="525" width="7.7265625" bestFit="1" customWidth="1"/>
    <col min="526" max="526" width="6.7265625" bestFit="1" customWidth="1"/>
    <col min="527" max="527" width="8.453125" bestFit="1" customWidth="1"/>
    <col min="528" max="528" width="24.08984375" bestFit="1" customWidth="1"/>
    <col min="529" max="529" width="13.7265625" bestFit="1" customWidth="1"/>
    <col min="530" max="530" width="8.54296875" bestFit="1" customWidth="1"/>
    <col min="531" max="531" width="13.08984375" bestFit="1" customWidth="1"/>
    <col min="532" max="532" width="12.08984375" bestFit="1" customWidth="1"/>
    <col min="533" max="533" width="9.36328125" bestFit="1" customWidth="1"/>
    <col min="534" max="534" width="7.90625" bestFit="1" customWidth="1"/>
    <col min="535" max="535" width="11.54296875" bestFit="1" customWidth="1"/>
    <col min="536" max="536" width="8.36328125" bestFit="1" customWidth="1"/>
    <col min="538" max="538" width="8.90625" bestFit="1" customWidth="1"/>
    <col min="539" max="539" width="15.26953125" bestFit="1" customWidth="1"/>
    <col min="540" max="540" width="9.08984375" bestFit="1" customWidth="1"/>
    <col min="541" max="541" width="5.90625" bestFit="1" customWidth="1"/>
    <col min="542" max="542" width="6.81640625" bestFit="1" customWidth="1"/>
    <col min="543" max="543" width="13.453125" bestFit="1" customWidth="1"/>
    <col min="544" max="544" width="11.90625" bestFit="1" customWidth="1"/>
    <col min="545" max="545" width="11.26953125" bestFit="1" customWidth="1"/>
    <col min="546" max="546" width="11.6328125" bestFit="1" customWidth="1"/>
    <col min="547" max="547" width="15.54296875" bestFit="1" customWidth="1"/>
    <col min="548" max="548" width="22.54296875" bestFit="1" customWidth="1"/>
    <col min="549" max="549" width="17.90625" bestFit="1" customWidth="1"/>
    <col min="550" max="550" width="16.90625" bestFit="1" customWidth="1"/>
    <col min="552" max="552" width="16.453125" bestFit="1" customWidth="1"/>
    <col min="553" max="553" width="33.81640625" bestFit="1" customWidth="1"/>
    <col min="554" max="554" width="46.81640625" bestFit="1" customWidth="1"/>
    <col min="555" max="555" width="12.6328125" bestFit="1" customWidth="1"/>
    <col min="556" max="556" width="13.7265625" bestFit="1" customWidth="1"/>
    <col min="557" max="557" width="14.08984375" bestFit="1" customWidth="1"/>
    <col min="558" max="558" width="10.54296875" bestFit="1" customWidth="1"/>
    <col min="559" max="559" width="8.1796875" bestFit="1" customWidth="1"/>
    <col min="560" max="560" width="14.6328125" bestFit="1" customWidth="1"/>
    <col min="561" max="561" width="42.7265625" bestFit="1" customWidth="1"/>
    <col min="562" max="562" width="17.08984375" bestFit="1" customWidth="1"/>
    <col min="563" max="563" width="32" bestFit="1" customWidth="1"/>
    <col min="564" max="564" width="22.81640625" bestFit="1" customWidth="1"/>
    <col min="565" max="565" width="10.81640625" bestFit="1" customWidth="1"/>
    <col min="566" max="566" width="16.81640625" bestFit="1" customWidth="1"/>
    <col min="567" max="567" width="6.81640625" bestFit="1" customWidth="1"/>
    <col min="568" max="568" width="40.90625" bestFit="1" customWidth="1"/>
    <col min="569" max="569" width="33" bestFit="1" customWidth="1"/>
    <col min="570" max="570" width="13.54296875" bestFit="1" customWidth="1"/>
    <col min="571" max="571" width="12" bestFit="1" customWidth="1"/>
    <col min="572" max="572" width="34.81640625" bestFit="1" customWidth="1"/>
    <col min="573" max="573" width="28.90625" bestFit="1" customWidth="1"/>
    <col min="574" max="574" width="48" bestFit="1" customWidth="1"/>
    <col min="575" max="575" width="24.08984375" bestFit="1" customWidth="1"/>
    <col min="576" max="576" width="20.08984375" bestFit="1" customWidth="1"/>
    <col min="577" max="577" width="14.54296875" bestFit="1" customWidth="1"/>
    <col min="578" max="578" width="20.1796875" bestFit="1" customWidth="1"/>
    <col min="579" max="579" width="15.1796875" bestFit="1" customWidth="1"/>
    <col min="580" max="580" width="38.36328125" bestFit="1" customWidth="1"/>
    <col min="581" max="581" width="12.26953125" bestFit="1" customWidth="1"/>
    <col min="582" max="582" width="13.54296875" bestFit="1" customWidth="1"/>
    <col min="583" max="583" width="22.90625" bestFit="1" customWidth="1"/>
    <col min="584" max="584" width="14.1796875" bestFit="1" customWidth="1"/>
    <col min="585" max="585" width="16.08984375" bestFit="1" customWidth="1"/>
    <col min="586" max="586" width="51.1796875" bestFit="1" customWidth="1"/>
    <col min="587" max="587" width="15.1796875" bestFit="1" customWidth="1"/>
    <col min="588" max="588" width="28.453125" bestFit="1" customWidth="1"/>
    <col min="589" max="589" width="22.81640625" bestFit="1" customWidth="1"/>
    <col min="590" max="590" width="10.81640625" bestFit="1" customWidth="1"/>
    <col min="591" max="591" width="18.81640625" bestFit="1" customWidth="1"/>
    <col min="592" max="592" width="10.90625" bestFit="1" customWidth="1"/>
    <col min="593" max="593" width="7" bestFit="1" customWidth="1"/>
    <col min="594" max="594" width="23.81640625" bestFit="1" customWidth="1"/>
    <col min="595" max="595" width="18.1796875" bestFit="1" customWidth="1"/>
    <col min="596" max="596" width="12.6328125" bestFit="1" customWidth="1"/>
    <col min="597" max="597" width="24.90625" bestFit="1" customWidth="1"/>
    <col min="598" max="598" width="18.1796875" bestFit="1" customWidth="1"/>
    <col min="599" max="599" width="18.7265625" bestFit="1" customWidth="1"/>
    <col min="600" max="600" width="32.81640625" bestFit="1" customWidth="1"/>
    <col min="601" max="601" width="49.1796875" bestFit="1" customWidth="1"/>
    <col min="602" max="602" width="31.54296875" bestFit="1" customWidth="1"/>
    <col min="603" max="603" width="14" bestFit="1" customWidth="1"/>
    <col min="604" max="604" width="13.6328125" bestFit="1" customWidth="1"/>
    <col min="605" max="605" width="24.453125" bestFit="1" customWidth="1"/>
    <col min="606" max="606" width="17.7265625" bestFit="1" customWidth="1"/>
    <col min="607" max="607" width="14.1796875" bestFit="1" customWidth="1"/>
    <col min="608" max="608" width="25.36328125" bestFit="1" customWidth="1"/>
    <col min="609" max="609" width="28.6328125" bestFit="1" customWidth="1"/>
    <col min="610" max="610" width="15.26953125" bestFit="1" customWidth="1"/>
    <col min="611" max="611" width="14.08984375" bestFit="1" customWidth="1"/>
    <col min="612" max="612" width="19.81640625" bestFit="1" customWidth="1"/>
    <col min="613" max="613" width="12.90625" bestFit="1" customWidth="1"/>
    <col min="614" max="614" width="17" bestFit="1" customWidth="1"/>
    <col min="615" max="615" width="15.90625" bestFit="1" customWidth="1"/>
    <col min="616" max="616" width="34.453125" bestFit="1" customWidth="1"/>
    <col min="617" max="617" width="12.90625" bestFit="1" customWidth="1"/>
    <col min="618" max="618" width="50.08984375" bestFit="1" customWidth="1"/>
    <col min="619" max="619" width="18.6328125" bestFit="1" customWidth="1"/>
    <col min="620" max="620" width="9.26953125" bestFit="1" customWidth="1"/>
    <col min="621" max="621" width="12.54296875" bestFit="1" customWidth="1"/>
    <col min="622" max="622" width="13" bestFit="1" customWidth="1"/>
    <col min="623" max="623" width="9.26953125" bestFit="1" customWidth="1"/>
    <col min="624" max="624" width="22.26953125" bestFit="1" customWidth="1"/>
    <col min="625" max="625" width="16.81640625" bestFit="1" customWidth="1"/>
    <col min="626" max="626" width="49.36328125" bestFit="1" customWidth="1"/>
    <col min="627" max="627" width="30" bestFit="1" customWidth="1"/>
    <col min="628" max="628" width="17.7265625" bestFit="1" customWidth="1"/>
    <col min="629" max="629" width="20.6328125" bestFit="1" customWidth="1"/>
    <col min="630" max="630" width="39.81640625" bestFit="1" customWidth="1"/>
    <col min="631" max="631" width="8.81640625" bestFit="1" customWidth="1"/>
    <col min="632" max="632" width="40.26953125" bestFit="1" customWidth="1"/>
    <col min="633" max="633" width="52.6328125" bestFit="1" customWidth="1"/>
    <col min="634" max="634" width="19.6328125" bestFit="1" customWidth="1"/>
    <col min="635" max="635" width="11.453125" bestFit="1" customWidth="1"/>
    <col min="636" max="636" width="23" bestFit="1" customWidth="1"/>
    <col min="637" max="637" width="65.54296875" bestFit="1" customWidth="1"/>
    <col min="638" max="638" width="37.81640625" bestFit="1" customWidth="1"/>
    <col min="639" max="639" width="23.81640625" bestFit="1" customWidth="1"/>
    <col min="640" max="640" width="10.1796875" bestFit="1" customWidth="1"/>
    <col min="641" max="641" width="21.36328125" bestFit="1" customWidth="1"/>
    <col min="642" max="642" width="7.90625" bestFit="1" customWidth="1"/>
    <col min="643" max="643" width="12.7265625" bestFit="1" customWidth="1"/>
    <col min="644" max="644" width="12.54296875" bestFit="1" customWidth="1"/>
    <col min="645" max="645" width="32.1796875" bestFit="1" customWidth="1"/>
    <col min="646" max="646" width="25" bestFit="1" customWidth="1"/>
    <col min="647" max="647" width="36.08984375" bestFit="1" customWidth="1"/>
    <col min="648" max="648" width="23" bestFit="1" customWidth="1"/>
    <col min="649" max="649" width="10.54296875" bestFit="1" customWidth="1"/>
    <col min="650" max="650" width="16.1796875" bestFit="1" customWidth="1"/>
    <col min="651" max="651" width="16" bestFit="1" customWidth="1"/>
    <col min="652" max="652" width="56.453125" bestFit="1" customWidth="1"/>
    <col min="653" max="653" width="13.81640625" bestFit="1" customWidth="1"/>
    <col min="654" max="654" width="44.36328125" bestFit="1" customWidth="1"/>
    <col min="655" max="655" width="34" bestFit="1" customWidth="1"/>
    <col min="656" max="656" width="10.6328125" bestFit="1" customWidth="1"/>
    <col min="657" max="657" width="20.453125" bestFit="1" customWidth="1"/>
    <col min="658" max="658" width="25.6328125" bestFit="1" customWidth="1"/>
    <col min="659" max="659" width="10.7265625" bestFit="1" customWidth="1"/>
    <col min="660" max="660" width="19.81640625" bestFit="1" customWidth="1"/>
    <col min="661" max="661" width="11.26953125" bestFit="1" customWidth="1"/>
    <col min="662" max="662" width="39.81640625" bestFit="1" customWidth="1"/>
    <col min="663" max="663" width="9.81640625" bestFit="1" customWidth="1"/>
    <col min="664" max="664" width="26.1796875" bestFit="1" customWidth="1"/>
    <col min="665" max="665" width="11.1796875" bestFit="1" customWidth="1"/>
    <col min="666" max="666" width="17.6328125" bestFit="1" customWidth="1"/>
    <col min="667" max="667" width="26.7265625" bestFit="1" customWidth="1"/>
    <col min="668" max="668" width="31.08984375" bestFit="1" customWidth="1"/>
    <col min="669" max="669" width="32.36328125" bestFit="1" customWidth="1"/>
    <col min="670" max="670" width="12.36328125" bestFit="1" customWidth="1"/>
    <col min="671" max="671" width="20.7265625" bestFit="1" customWidth="1"/>
    <col min="672" max="672" width="26.81640625" bestFit="1" customWidth="1"/>
    <col min="673" max="673" width="14.453125" bestFit="1" customWidth="1"/>
    <col min="674" max="674" width="32" bestFit="1" customWidth="1"/>
    <col min="675" max="675" width="18.7265625" bestFit="1" customWidth="1"/>
    <col min="677" max="677" width="17.7265625" bestFit="1" customWidth="1"/>
    <col min="678" max="678" width="15.6328125" bestFit="1" customWidth="1"/>
    <col min="679" max="679" width="25.1796875" bestFit="1" customWidth="1"/>
    <col min="680" max="680" width="7.81640625" bestFit="1" customWidth="1"/>
    <col min="681" max="681" width="28.81640625" bestFit="1" customWidth="1"/>
    <col min="682" max="682" width="31.90625" bestFit="1" customWidth="1"/>
    <col min="683" max="683" width="14.453125" bestFit="1" customWidth="1"/>
    <col min="684" max="684" width="21.26953125" bestFit="1" customWidth="1"/>
    <col min="685" max="685" width="13.54296875" bestFit="1" customWidth="1"/>
    <col min="686" max="686" width="8.453125" bestFit="1" customWidth="1"/>
    <col min="687" max="687" width="7.90625" bestFit="1" customWidth="1"/>
    <col min="688" max="688" width="7.6328125" bestFit="1" customWidth="1"/>
    <col min="689" max="689" width="16.6328125" bestFit="1" customWidth="1"/>
    <col min="690" max="690" width="13.90625" bestFit="1" customWidth="1"/>
    <col min="691" max="691" width="8.08984375" bestFit="1" customWidth="1"/>
    <col min="692" max="692" width="14.81640625" bestFit="1" customWidth="1"/>
    <col min="693" max="693" width="9.26953125" bestFit="1" customWidth="1"/>
    <col min="694" max="694" width="12.7265625" bestFit="1" customWidth="1"/>
    <col min="695" max="695" width="16.54296875" bestFit="1" customWidth="1"/>
    <col min="696" max="696" width="9.1796875" bestFit="1" customWidth="1"/>
    <col min="697" max="697" width="10.453125" bestFit="1" customWidth="1"/>
    <col min="698" max="698" width="9.36328125" bestFit="1" customWidth="1"/>
    <col min="699" max="699" width="25" bestFit="1" customWidth="1"/>
    <col min="700" max="700" width="14" bestFit="1" customWidth="1"/>
    <col min="701" max="701" width="18.54296875" bestFit="1" customWidth="1"/>
    <col min="702" max="702" width="24.6328125" bestFit="1" customWidth="1"/>
    <col min="703" max="703" width="11.1796875" bestFit="1" customWidth="1"/>
    <col min="704" max="704" width="14" bestFit="1" customWidth="1"/>
    <col min="705" max="705" width="20.81640625" bestFit="1" customWidth="1"/>
    <col min="706" max="706" width="9.6328125" bestFit="1" customWidth="1"/>
    <col min="707" max="707" width="15.90625" bestFit="1" customWidth="1"/>
    <col min="708" max="708" width="20.1796875" bestFit="1" customWidth="1"/>
    <col min="709" max="709" width="12.26953125" bestFit="1" customWidth="1"/>
    <col min="710" max="710" width="10.90625" bestFit="1" customWidth="1"/>
    <col min="711" max="711" width="15" bestFit="1" customWidth="1"/>
    <col min="712" max="712" width="47.90625" bestFit="1" customWidth="1"/>
    <col min="713" max="713" width="6.08984375" bestFit="1" customWidth="1"/>
    <col min="714" max="714" width="6.81640625" bestFit="1" customWidth="1"/>
    <col min="715" max="715" width="12.6328125" bestFit="1" customWidth="1"/>
    <col min="716" max="716" width="11.54296875" bestFit="1" customWidth="1"/>
    <col min="717" max="717" width="37.26953125" bestFit="1" customWidth="1"/>
    <col min="718" max="718" width="31.7265625" bestFit="1" customWidth="1"/>
    <col min="719" max="719" width="47.08984375" bestFit="1" customWidth="1"/>
    <col min="720" max="720" width="14.26953125" bestFit="1" customWidth="1"/>
    <col min="721" max="721" width="13.1796875" bestFit="1" customWidth="1"/>
    <col min="722" max="722" width="8.1796875" bestFit="1" customWidth="1"/>
    <col min="723" max="723" width="13.26953125" bestFit="1" customWidth="1"/>
    <col min="724" max="724" width="19.90625" bestFit="1" customWidth="1"/>
    <col min="725" max="725" width="26" bestFit="1" customWidth="1"/>
    <col min="726" max="726" width="20.08984375" bestFit="1" customWidth="1"/>
    <col min="727" max="727" width="20.90625" bestFit="1" customWidth="1"/>
    <col min="728" max="728" width="39.26953125" bestFit="1" customWidth="1"/>
    <col min="729" max="729" width="12.90625" bestFit="1" customWidth="1"/>
    <col min="730" max="730" width="26.36328125" bestFit="1" customWidth="1"/>
    <col min="731" max="731" width="43.1796875" bestFit="1" customWidth="1"/>
    <col min="732" max="732" width="16" bestFit="1" customWidth="1"/>
    <col min="733" max="733" width="43.90625" bestFit="1" customWidth="1"/>
    <col min="734" max="734" width="30.453125" bestFit="1" customWidth="1"/>
    <col min="735" max="735" width="21.54296875" bestFit="1" customWidth="1"/>
    <col min="736" max="736" width="32.08984375" bestFit="1" customWidth="1"/>
    <col min="737" max="737" width="15" bestFit="1" customWidth="1"/>
    <col min="738" max="738" width="34.36328125" bestFit="1" customWidth="1"/>
    <col min="739" max="739" width="48.1796875" bestFit="1" customWidth="1"/>
    <col min="740" max="741" width="12.26953125" bestFit="1" customWidth="1"/>
    <col min="742" max="742" width="13.6328125" bestFit="1" customWidth="1"/>
    <col min="743" max="743" width="18.90625" bestFit="1" customWidth="1"/>
    <col min="744" max="744" width="12.08984375" bestFit="1" customWidth="1"/>
    <col min="745" max="745" width="20.90625" bestFit="1" customWidth="1"/>
    <col min="746" max="746" width="15.7265625" bestFit="1" customWidth="1"/>
    <col min="747" max="747" width="50.54296875" bestFit="1" customWidth="1"/>
    <col min="748" max="748" width="11.54296875" bestFit="1" customWidth="1"/>
    <col min="749" max="749" width="18.36328125" bestFit="1" customWidth="1"/>
    <col min="750" max="750" width="23.36328125" bestFit="1" customWidth="1"/>
    <col min="751" max="751" width="15" bestFit="1" customWidth="1"/>
    <col min="752" max="752" width="55.453125" bestFit="1" customWidth="1"/>
    <col min="753" max="753" width="14.1796875" bestFit="1" customWidth="1"/>
    <col min="754" max="754" width="13.90625" bestFit="1" customWidth="1"/>
    <col min="755" max="755" width="15.6328125" bestFit="1" customWidth="1"/>
    <col min="756" max="756" width="14.26953125" bestFit="1" customWidth="1"/>
    <col min="757" max="757" width="40.1796875" bestFit="1" customWidth="1"/>
    <col min="758" max="758" width="13.90625" bestFit="1" customWidth="1"/>
    <col min="759" max="759" width="24.453125" bestFit="1" customWidth="1"/>
    <col min="760" max="760" width="25.36328125" bestFit="1" customWidth="1"/>
    <col min="761" max="761" width="17.26953125" bestFit="1" customWidth="1"/>
    <col min="762" max="762" width="23.453125" bestFit="1" customWidth="1"/>
    <col min="763" max="763" width="26.90625" bestFit="1" customWidth="1"/>
    <col min="764" max="764" width="37.90625" bestFit="1" customWidth="1"/>
    <col min="765" max="765" width="14.26953125" bestFit="1" customWidth="1"/>
    <col min="766" max="766" width="11" bestFit="1" customWidth="1"/>
    <col min="767" max="767" width="20.54296875" bestFit="1" customWidth="1"/>
    <col min="768" max="768" width="28.54296875" bestFit="1" customWidth="1"/>
    <col min="769" max="769" width="23.54296875" bestFit="1" customWidth="1"/>
    <col min="770" max="770" width="20.1796875" bestFit="1" customWidth="1"/>
    <col min="771" max="771" width="37.6328125" bestFit="1" customWidth="1"/>
    <col min="772" max="772" width="15.6328125" bestFit="1" customWidth="1"/>
    <col min="773" max="773" width="19.36328125" bestFit="1" customWidth="1"/>
    <col min="774" max="774" width="23.08984375" bestFit="1" customWidth="1"/>
    <col min="775" max="775" width="32.90625" bestFit="1" customWidth="1"/>
    <col min="776" max="776" width="21.08984375" bestFit="1" customWidth="1"/>
    <col min="777" max="777" width="14.7265625" bestFit="1" customWidth="1"/>
    <col min="778" max="778" width="17.7265625" bestFit="1" customWidth="1"/>
    <col min="779" max="779" width="37.54296875" bestFit="1" customWidth="1"/>
    <col min="780" max="780" width="9.1796875" bestFit="1" customWidth="1"/>
    <col min="781" max="781" width="14.7265625" bestFit="1" customWidth="1"/>
    <col min="782" max="782" width="18.1796875" bestFit="1" customWidth="1"/>
    <col min="783" max="783" width="51.453125" bestFit="1" customWidth="1"/>
    <col min="784" max="784" width="25.26953125" bestFit="1" customWidth="1"/>
    <col min="785" max="785" width="12.90625" bestFit="1" customWidth="1"/>
    <col min="786" max="786" width="24.90625" bestFit="1" customWidth="1"/>
    <col min="787" max="787" width="17.08984375" bestFit="1" customWidth="1"/>
    <col min="788" max="788" width="17.54296875" bestFit="1" customWidth="1"/>
    <col min="789" max="789" width="7.26953125" bestFit="1" customWidth="1"/>
    <col min="790" max="790" width="42.1796875" bestFit="1" customWidth="1"/>
    <col min="791" max="791" width="13.26953125" bestFit="1" customWidth="1"/>
    <col min="792" max="792" width="20" bestFit="1" customWidth="1"/>
    <col min="793" max="793" width="16.453125" bestFit="1" customWidth="1"/>
    <col min="794" max="794" width="20.54296875" bestFit="1" customWidth="1"/>
    <col min="795" max="795" width="52.08984375" bestFit="1" customWidth="1"/>
    <col min="796" max="796" width="26.453125" bestFit="1" customWidth="1"/>
    <col min="797" max="797" width="22.1796875" bestFit="1" customWidth="1"/>
    <col min="798" max="798" width="33" bestFit="1" customWidth="1"/>
    <col min="799" max="799" width="23.08984375" bestFit="1" customWidth="1"/>
    <col min="800" max="800" width="19.08984375" bestFit="1" customWidth="1"/>
    <col min="801" max="801" width="18.54296875" bestFit="1" customWidth="1"/>
    <col min="802" max="802" width="24.7265625" bestFit="1" customWidth="1"/>
    <col min="803" max="803" width="27.1796875" bestFit="1" customWidth="1"/>
    <col min="804" max="804" width="52.7265625" bestFit="1" customWidth="1"/>
    <col min="805" max="805" width="11.08984375" bestFit="1" customWidth="1"/>
    <col min="806" max="806" width="16.08984375" bestFit="1" customWidth="1"/>
    <col min="807" max="807" width="19.54296875" bestFit="1" customWidth="1"/>
    <col min="808" max="808" width="18.453125" bestFit="1" customWidth="1"/>
    <col min="809" max="809" width="44.7265625" bestFit="1" customWidth="1"/>
    <col min="810" max="810" width="12" bestFit="1" customWidth="1"/>
    <col min="811" max="811" width="24.453125" bestFit="1" customWidth="1"/>
    <col min="812" max="812" width="21.54296875" bestFit="1" customWidth="1"/>
    <col min="813" max="813" width="41.453125" bestFit="1" customWidth="1"/>
    <col min="814" max="814" width="39.08984375" bestFit="1" customWidth="1"/>
    <col min="815" max="815" width="15.453125" bestFit="1" customWidth="1"/>
    <col min="816" max="816" width="28.6328125" bestFit="1" customWidth="1"/>
    <col min="817" max="817" width="16.08984375" bestFit="1" customWidth="1"/>
    <col min="818" max="818" width="40.6328125" bestFit="1" customWidth="1"/>
    <col min="819" max="819" width="21.54296875" bestFit="1" customWidth="1"/>
    <col min="820" max="820" width="10.54296875" bestFit="1" customWidth="1"/>
    <col min="821" max="821" width="18.54296875" bestFit="1" customWidth="1"/>
    <col min="822" max="822" width="20.26953125" bestFit="1" customWidth="1"/>
    <col min="823" max="823" width="18.08984375" bestFit="1" customWidth="1"/>
    <col min="824" max="824" width="26.6328125" bestFit="1" customWidth="1"/>
    <col min="825" max="825" width="23.90625" bestFit="1" customWidth="1"/>
    <col min="826" max="826" width="17.26953125" bestFit="1" customWidth="1"/>
    <col min="827" max="827" width="35.6328125" bestFit="1" customWidth="1"/>
    <col min="828" max="828" width="13.81640625" bestFit="1" customWidth="1"/>
    <col min="829" max="829" width="38" bestFit="1" customWidth="1"/>
    <col min="830" max="830" width="8.81640625" bestFit="1" customWidth="1"/>
    <col min="831" max="831" width="40.7265625" bestFit="1" customWidth="1"/>
    <col min="832" max="832" width="27.81640625" bestFit="1" customWidth="1"/>
    <col min="833" max="833" width="47.36328125" bestFit="1" customWidth="1"/>
    <col min="834" max="834" width="16.7265625" bestFit="1" customWidth="1"/>
    <col min="835" max="835" width="18.7265625" bestFit="1" customWidth="1"/>
    <col min="836" max="836" width="24.08984375" bestFit="1" customWidth="1"/>
    <col min="837" max="837" width="19.90625" bestFit="1" customWidth="1"/>
    <col min="838" max="838" width="50.26953125" bestFit="1" customWidth="1"/>
    <col min="839" max="839" width="11.453125" bestFit="1" customWidth="1"/>
    <col min="840" max="840" width="27.7265625" bestFit="1" customWidth="1"/>
    <col min="841" max="841" width="44.08984375" bestFit="1" customWidth="1"/>
    <col min="842" max="842" width="9" bestFit="1" customWidth="1"/>
    <col min="843" max="843" width="20.90625" bestFit="1" customWidth="1"/>
    <col min="844" max="844" width="55.36328125" bestFit="1" customWidth="1"/>
    <col min="845" max="845" width="16.81640625" bestFit="1" customWidth="1"/>
    <col min="846" max="846" width="19.90625" bestFit="1" customWidth="1"/>
    <col min="847" max="847" width="25.7265625" bestFit="1" customWidth="1"/>
    <col min="848" max="848" width="51.26953125" bestFit="1" customWidth="1"/>
    <col min="849" max="849" width="63.7265625" bestFit="1" customWidth="1"/>
    <col min="850" max="850" width="13.6328125" bestFit="1" customWidth="1"/>
    <col min="851" max="851" width="34.54296875" bestFit="1" customWidth="1"/>
    <col min="852" max="852" width="22.54296875" bestFit="1" customWidth="1"/>
    <col min="853" max="853" width="19.26953125" bestFit="1" customWidth="1"/>
    <col min="854" max="854" width="12.08984375" bestFit="1" customWidth="1"/>
    <col min="855" max="855" width="18.6328125" bestFit="1" customWidth="1"/>
    <col min="856" max="856" width="38.54296875" bestFit="1" customWidth="1"/>
    <col min="857" max="857" width="14.1796875" bestFit="1" customWidth="1"/>
    <col min="858" max="858" width="13.54296875" bestFit="1" customWidth="1"/>
    <col min="859" max="859" width="10.36328125" bestFit="1" customWidth="1"/>
    <col min="860" max="860" width="19.6328125" bestFit="1" customWidth="1"/>
    <col min="861" max="861" width="32.453125" bestFit="1" customWidth="1"/>
    <col min="862" max="862" width="22" bestFit="1" customWidth="1"/>
    <col min="863" max="863" width="35.90625" bestFit="1" customWidth="1"/>
    <col min="864" max="864" width="18.54296875" bestFit="1" customWidth="1"/>
    <col min="865" max="865" width="26.6328125" bestFit="1" customWidth="1"/>
    <col min="866" max="866" width="20.81640625" bestFit="1" customWidth="1"/>
    <col min="867" max="867" width="6.36328125" bestFit="1" customWidth="1"/>
  </cols>
  <sheetData>
    <row r="1" spans="1:23" x14ac:dyDescent="0.35">
      <c r="A1" t="s">
        <v>783</v>
      </c>
      <c r="B1" t="s">
        <v>758</v>
      </c>
      <c r="C1" t="s">
        <v>759</v>
      </c>
      <c r="D1" t="s">
        <v>760</v>
      </c>
      <c r="E1" t="s">
        <v>761</v>
      </c>
      <c r="F1" t="s">
        <v>762</v>
      </c>
      <c r="G1" t="s">
        <v>763</v>
      </c>
      <c r="H1" t="s">
        <v>764</v>
      </c>
      <c r="I1" t="s">
        <v>765</v>
      </c>
      <c r="J1" t="s">
        <v>766</v>
      </c>
      <c r="K1" t="s">
        <v>767</v>
      </c>
      <c r="L1" t="s">
        <v>768</v>
      </c>
      <c r="M1" t="s">
        <v>769</v>
      </c>
      <c r="N1" t="s">
        <v>770</v>
      </c>
      <c r="O1" t="s">
        <v>771</v>
      </c>
      <c r="P1" t="s">
        <v>772</v>
      </c>
      <c r="Q1" t="s">
        <v>773</v>
      </c>
      <c r="R1" t="s">
        <v>774</v>
      </c>
      <c r="S1" t="s">
        <v>775</v>
      </c>
      <c r="T1" t="s">
        <v>776</v>
      </c>
      <c r="U1" t="s">
        <v>777</v>
      </c>
      <c r="V1" t="s">
        <v>778</v>
      </c>
      <c r="W1" t="s">
        <v>779</v>
      </c>
    </row>
    <row r="2" spans="1:23" x14ac:dyDescent="0.35">
      <c r="A2" s="2" t="s">
        <v>1</v>
      </c>
      <c r="B2">
        <v>14.69</v>
      </c>
      <c r="C2">
        <v>15.05</v>
      </c>
      <c r="D2">
        <v>15.75</v>
      </c>
      <c r="E2">
        <v>16.47</v>
      </c>
      <c r="F2">
        <v>16.78</v>
      </c>
      <c r="G2">
        <v>16.600000000000001</v>
      </c>
      <c r="H2">
        <v>16.68</v>
      </c>
      <c r="I2">
        <v>17.190000000000001</v>
      </c>
      <c r="J2">
        <v>17.07</v>
      </c>
      <c r="K2">
        <v>16.16</v>
      </c>
      <c r="L2">
        <v>16.82</v>
      </c>
      <c r="M2">
        <v>17.579999999999998</v>
      </c>
      <c r="N2">
        <v>17.97</v>
      </c>
      <c r="O2">
        <v>17.61</v>
      </c>
      <c r="P2">
        <v>18.05</v>
      </c>
      <c r="Q2">
        <v>18.41</v>
      </c>
      <c r="R2">
        <v>18.399999999999999</v>
      </c>
      <c r="S2">
        <v>18.18</v>
      </c>
      <c r="T2">
        <v>18.2</v>
      </c>
      <c r="U2">
        <v>18.12</v>
      </c>
      <c r="V2">
        <v>18.100000000000001</v>
      </c>
      <c r="W2">
        <v>18.57</v>
      </c>
    </row>
    <row r="3" spans="1:23" x14ac:dyDescent="0.35">
      <c r="A3" s="2" t="s">
        <v>2</v>
      </c>
      <c r="B3">
        <v>12.08</v>
      </c>
      <c r="C3">
        <v>12.23</v>
      </c>
      <c r="D3">
        <v>12.42</v>
      </c>
      <c r="E3">
        <v>12.34</v>
      </c>
      <c r="F3">
        <v>12.24</v>
      </c>
      <c r="G3">
        <v>12.15</v>
      </c>
      <c r="H3">
        <v>12.23</v>
      </c>
      <c r="I3">
        <v>12.34</v>
      </c>
      <c r="J3">
        <v>12.23</v>
      </c>
      <c r="K3">
        <v>12.23</v>
      </c>
      <c r="L3">
        <v>12.2</v>
      </c>
      <c r="M3">
        <v>12.38</v>
      </c>
      <c r="N3">
        <v>12.34</v>
      </c>
      <c r="O3">
        <v>12.35</v>
      </c>
      <c r="P3">
        <v>12.72</v>
      </c>
      <c r="Q3">
        <v>13.31</v>
      </c>
      <c r="R3">
        <v>13.15</v>
      </c>
      <c r="S3">
        <v>13.6</v>
      </c>
      <c r="T3">
        <v>13.89</v>
      </c>
      <c r="U3">
        <v>13.94</v>
      </c>
      <c r="V3">
        <v>14.7</v>
      </c>
      <c r="W3">
        <v>15.13</v>
      </c>
    </row>
    <row r="4" spans="1:23" x14ac:dyDescent="0.35">
      <c r="A4" s="2" t="s">
        <v>3</v>
      </c>
      <c r="B4">
        <v>10.49</v>
      </c>
      <c r="C4">
        <v>10.59</v>
      </c>
      <c r="D4">
        <v>10.62</v>
      </c>
      <c r="E4">
        <v>10.48</v>
      </c>
      <c r="F4">
        <v>10.47</v>
      </c>
      <c r="G4">
        <v>10.37</v>
      </c>
      <c r="H4">
        <v>10.45</v>
      </c>
      <c r="I4">
        <v>10.57</v>
      </c>
      <c r="J4">
        <v>10.32</v>
      </c>
      <c r="K4">
        <v>10.33</v>
      </c>
      <c r="L4">
        <v>10.45</v>
      </c>
      <c r="M4">
        <v>10.33</v>
      </c>
      <c r="N4">
        <v>10.29</v>
      </c>
      <c r="O4">
        <v>10.15</v>
      </c>
      <c r="P4">
        <v>10.06</v>
      </c>
      <c r="Q4">
        <v>9.93</v>
      </c>
      <c r="R4">
        <v>9.7200000000000006</v>
      </c>
      <c r="S4">
        <v>9.6999999999999993</v>
      </c>
      <c r="T4">
        <v>9.65</v>
      </c>
      <c r="U4">
        <v>9.66</v>
      </c>
      <c r="V4">
        <v>9.9600000000000009</v>
      </c>
      <c r="W4">
        <v>9.8000000000000007</v>
      </c>
    </row>
    <row r="5" spans="1:23" x14ac:dyDescent="0.35">
      <c r="A5" s="2" t="s">
        <v>4</v>
      </c>
      <c r="B5">
        <v>4.13</v>
      </c>
      <c r="C5">
        <v>4.21</v>
      </c>
      <c r="D5">
        <v>4.0599999999999996</v>
      </c>
      <c r="E5">
        <v>4.53</v>
      </c>
      <c r="F5">
        <v>4.83</v>
      </c>
      <c r="G5">
        <v>4.76</v>
      </c>
      <c r="H5">
        <v>4.71</v>
      </c>
      <c r="I5">
        <v>4.97</v>
      </c>
      <c r="J5">
        <v>5.09</v>
      </c>
      <c r="K5">
        <v>5.4</v>
      </c>
      <c r="L5">
        <v>4.82</v>
      </c>
      <c r="M5">
        <v>3.8</v>
      </c>
      <c r="N5">
        <v>3.46</v>
      </c>
      <c r="O5">
        <v>3.46</v>
      </c>
      <c r="P5">
        <v>3.6</v>
      </c>
      <c r="Q5">
        <v>4.22</v>
      </c>
      <c r="R5">
        <v>4.3099999999999996</v>
      </c>
      <c r="S5">
        <v>4.2300000000000004</v>
      </c>
      <c r="T5">
        <v>4.66</v>
      </c>
      <c r="U5">
        <v>4.75</v>
      </c>
      <c r="V5">
        <v>4.91</v>
      </c>
      <c r="W5">
        <v>5.13</v>
      </c>
    </row>
    <row r="6" spans="1:23" x14ac:dyDescent="0.35">
      <c r="A6" s="2" t="s">
        <v>5</v>
      </c>
      <c r="B6">
        <v>34.450000000000003</v>
      </c>
      <c r="C6">
        <v>29.26</v>
      </c>
      <c r="D6">
        <v>25.87</v>
      </c>
      <c r="E6">
        <v>29.33</v>
      </c>
      <c r="F6">
        <v>0</v>
      </c>
      <c r="G6">
        <v>0</v>
      </c>
      <c r="H6">
        <v>0</v>
      </c>
      <c r="I6">
        <v>0</v>
      </c>
      <c r="J6">
        <v>40.89</v>
      </c>
      <c r="K6">
        <v>46.12</v>
      </c>
      <c r="L6">
        <v>32.83</v>
      </c>
      <c r="M6">
        <v>23.03</v>
      </c>
      <c r="N6">
        <v>22.59</v>
      </c>
      <c r="O6">
        <v>20.8</v>
      </c>
      <c r="P6">
        <v>22.92</v>
      </c>
      <c r="Q6">
        <v>24.8</v>
      </c>
      <c r="R6">
        <v>0</v>
      </c>
      <c r="S6">
        <v>0</v>
      </c>
      <c r="T6">
        <v>0</v>
      </c>
      <c r="U6">
        <v>0</v>
      </c>
      <c r="V6">
        <v>32.29</v>
      </c>
      <c r="W6">
        <v>34.29</v>
      </c>
    </row>
    <row r="7" spans="1:23" x14ac:dyDescent="0.35">
      <c r="A7" s="2" t="s">
        <v>6</v>
      </c>
      <c r="B7">
        <v>26.83</v>
      </c>
      <c r="C7">
        <v>26.24</v>
      </c>
      <c r="D7">
        <v>20.329999999999998</v>
      </c>
      <c r="E7">
        <v>17.22</v>
      </c>
      <c r="F7">
        <v>10.220000000000001</v>
      </c>
      <c r="G7">
        <v>8.5</v>
      </c>
      <c r="H7">
        <v>9.86</v>
      </c>
      <c r="I7">
        <v>10.9</v>
      </c>
      <c r="J7">
        <v>12.01</v>
      </c>
      <c r="K7">
        <v>13.83</v>
      </c>
      <c r="L7">
        <v>12.71</v>
      </c>
      <c r="M7">
        <v>14.63</v>
      </c>
      <c r="N7">
        <v>23.66</v>
      </c>
      <c r="O7">
        <v>25.59</v>
      </c>
      <c r="P7">
        <v>25.25</v>
      </c>
      <c r="Q7">
        <v>20.329999999999998</v>
      </c>
      <c r="R7">
        <v>14.09</v>
      </c>
      <c r="S7">
        <v>11.67</v>
      </c>
      <c r="T7">
        <v>17.059999999999999</v>
      </c>
      <c r="U7">
        <v>12.52</v>
      </c>
      <c r="V7">
        <v>9.01</v>
      </c>
      <c r="W7">
        <v>11.84</v>
      </c>
    </row>
    <row r="8" spans="1:23" x14ac:dyDescent="0.35">
      <c r="A8" s="2" t="s">
        <v>7</v>
      </c>
      <c r="B8">
        <v>10.73</v>
      </c>
      <c r="C8">
        <v>8.7899999999999991</v>
      </c>
      <c r="D8">
        <v>7.89</v>
      </c>
      <c r="E8">
        <v>9.0500000000000007</v>
      </c>
      <c r="F8">
        <v>10.9</v>
      </c>
      <c r="G8">
        <v>11.16</v>
      </c>
      <c r="H8">
        <v>11.77</v>
      </c>
      <c r="I8">
        <v>12.1</v>
      </c>
      <c r="J8">
        <v>11.84</v>
      </c>
      <c r="K8">
        <v>10.95</v>
      </c>
      <c r="L8">
        <v>9.67</v>
      </c>
      <c r="M8">
        <v>7.19</v>
      </c>
      <c r="N8">
        <v>7.66</v>
      </c>
      <c r="O8">
        <v>8.49</v>
      </c>
      <c r="P8">
        <v>9.84</v>
      </c>
      <c r="Q8">
        <v>13.22</v>
      </c>
      <c r="R8">
        <v>12.26</v>
      </c>
      <c r="S8">
        <v>13.32</v>
      </c>
      <c r="T8">
        <v>14.69</v>
      </c>
      <c r="U8">
        <v>13.05</v>
      </c>
      <c r="V8">
        <v>10.23</v>
      </c>
      <c r="W8">
        <v>13.29</v>
      </c>
    </row>
    <row r="9" spans="1:23" x14ac:dyDescent="0.35">
      <c r="A9" s="2" t="s">
        <v>8</v>
      </c>
      <c r="B9">
        <v>21.58</v>
      </c>
      <c r="C9">
        <v>16.239999999999998</v>
      </c>
      <c r="D9">
        <v>8.52</v>
      </c>
      <c r="E9">
        <v>4.01</v>
      </c>
      <c r="F9">
        <v>4.66</v>
      </c>
      <c r="G9">
        <v>6.44</v>
      </c>
      <c r="H9">
        <v>4.74</v>
      </c>
      <c r="I9">
        <v>4.9400000000000004</v>
      </c>
      <c r="J9">
        <v>6.91</v>
      </c>
      <c r="K9">
        <v>9.6</v>
      </c>
      <c r="L9">
        <v>11.57</v>
      </c>
      <c r="M9">
        <v>14.99</v>
      </c>
      <c r="N9">
        <v>14.83</v>
      </c>
      <c r="O9">
        <v>12.59</v>
      </c>
      <c r="P9">
        <v>7.96</v>
      </c>
      <c r="Q9">
        <v>4.33</v>
      </c>
      <c r="R9">
        <v>4.4000000000000004</v>
      </c>
      <c r="S9">
        <v>5.95</v>
      </c>
      <c r="T9">
        <v>5.14</v>
      </c>
      <c r="U9">
        <v>4.2699999999999996</v>
      </c>
      <c r="V9">
        <v>3.17</v>
      </c>
      <c r="W9">
        <v>7.98</v>
      </c>
    </row>
    <row r="10" spans="1:23" x14ac:dyDescent="0.35">
      <c r="A10" s="2" t="s">
        <v>9</v>
      </c>
      <c r="B10">
        <v>21.66</v>
      </c>
      <c r="C10">
        <v>23.59</v>
      </c>
      <c r="D10">
        <v>26.22</v>
      </c>
      <c r="E10">
        <v>29.79</v>
      </c>
      <c r="F10">
        <v>30.37</v>
      </c>
      <c r="G10">
        <v>31.12</v>
      </c>
      <c r="H10">
        <v>0</v>
      </c>
      <c r="I10">
        <v>0</v>
      </c>
      <c r="J10">
        <v>0</v>
      </c>
      <c r="K10">
        <v>0</v>
      </c>
      <c r="L10">
        <v>22.15</v>
      </c>
      <c r="M10">
        <v>22.02</v>
      </c>
      <c r="N10">
        <v>25.32</v>
      </c>
      <c r="O10">
        <v>28.03</v>
      </c>
      <c r="P10">
        <v>28.44</v>
      </c>
      <c r="Q10">
        <v>32.89</v>
      </c>
      <c r="R10">
        <v>33.33</v>
      </c>
      <c r="S10">
        <v>34.369999999999997</v>
      </c>
      <c r="T10">
        <v>0</v>
      </c>
      <c r="U10">
        <v>0</v>
      </c>
      <c r="V10">
        <v>0</v>
      </c>
      <c r="W10">
        <v>0</v>
      </c>
    </row>
    <row r="11" spans="1:23" x14ac:dyDescent="0.35">
      <c r="A11" s="2" t="s">
        <v>10</v>
      </c>
      <c r="B11">
        <v>11.83</v>
      </c>
      <c r="C11">
        <v>11.69</v>
      </c>
      <c r="D11">
        <v>11.72</v>
      </c>
      <c r="E11">
        <v>11.78</v>
      </c>
      <c r="F11">
        <v>11.9</v>
      </c>
      <c r="G11">
        <v>11.74</v>
      </c>
      <c r="H11">
        <v>11.45</v>
      </c>
      <c r="I11">
        <v>11.29</v>
      </c>
      <c r="J11">
        <v>11.31</v>
      </c>
      <c r="K11">
        <v>11.23</v>
      </c>
      <c r="L11">
        <v>11.22</v>
      </c>
      <c r="M11">
        <v>11.19</v>
      </c>
      <c r="N11">
        <v>10.95</v>
      </c>
      <c r="O11">
        <v>11.11</v>
      </c>
      <c r="P11">
        <v>11.07</v>
      </c>
      <c r="Q11">
        <v>11.29</v>
      </c>
      <c r="R11">
        <v>10.96</v>
      </c>
      <c r="S11">
        <v>10.69</v>
      </c>
      <c r="T11">
        <v>10.6</v>
      </c>
      <c r="U11">
        <v>10.62</v>
      </c>
      <c r="V11">
        <v>10.67</v>
      </c>
      <c r="W11">
        <v>10.72</v>
      </c>
    </row>
    <row r="12" spans="1:23" x14ac:dyDescent="0.35">
      <c r="A12" s="2" t="s">
        <v>11</v>
      </c>
      <c r="B12">
        <v>8.9499999999999993</v>
      </c>
      <c r="C12">
        <v>8.19</v>
      </c>
      <c r="D12">
        <v>8.34</v>
      </c>
      <c r="E12">
        <v>8.93</v>
      </c>
      <c r="F12">
        <v>0</v>
      </c>
      <c r="G12">
        <v>0</v>
      </c>
      <c r="H12">
        <v>0</v>
      </c>
      <c r="I12">
        <v>0</v>
      </c>
      <c r="J12">
        <v>0</v>
      </c>
      <c r="K12">
        <v>10.37</v>
      </c>
      <c r="L12">
        <v>12.19</v>
      </c>
      <c r="M12">
        <v>10.94</v>
      </c>
      <c r="N12">
        <v>10.039999999999999</v>
      </c>
      <c r="O12">
        <v>10.88</v>
      </c>
      <c r="P12">
        <v>10.49</v>
      </c>
      <c r="Q12">
        <v>10.26</v>
      </c>
      <c r="R12">
        <v>0</v>
      </c>
      <c r="S12">
        <v>0</v>
      </c>
      <c r="T12">
        <v>0</v>
      </c>
      <c r="U12">
        <v>0</v>
      </c>
      <c r="V12">
        <v>0</v>
      </c>
      <c r="W12">
        <v>12.09</v>
      </c>
    </row>
    <row r="13" spans="1:23" x14ac:dyDescent="0.35">
      <c r="A13" s="2" t="s">
        <v>12</v>
      </c>
      <c r="B13">
        <v>3.31</v>
      </c>
      <c r="C13">
        <v>3.56</v>
      </c>
      <c r="D13">
        <v>3.9</v>
      </c>
      <c r="E13">
        <v>4.43</v>
      </c>
      <c r="F13">
        <v>4.57</v>
      </c>
      <c r="G13">
        <v>4.5999999999999996</v>
      </c>
      <c r="H13">
        <v>4.29</v>
      </c>
      <c r="I13">
        <v>3.78</v>
      </c>
      <c r="J13">
        <v>3.61</v>
      </c>
      <c r="K13">
        <v>3.69</v>
      </c>
      <c r="L13">
        <v>4.01</v>
      </c>
      <c r="M13">
        <v>4.16</v>
      </c>
      <c r="N13">
        <v>4.26</v>
      </c>
      <c r="O13">
        <v>4.2</v>
      </c>
      <c r="P13">
        <v>3.99</v>
      </c>
      <c r="Q13">
        <v>4.0199999999999996</v>
      </c>
      <c r="R13">
        <v>3.93</v>
      </c>
      <c r="S13">
        <v>3.95</v>
      </c>
      <c r="T13">
        <v>3.93</v>
      </c>
      <c r="U13">
        <v>3.69</v>
      </c>
      <c r="V13">
        <v>3.59</v>
      </c>
      <c r="W13">
        <v>3.66</v>
      </c>
    </row>
    <row r="14" spans="1:23" x14ac:dyDescent="0.35">
      <c r="A14" s="2" t="s">
        <v>13</v>
      </c>
      <c r="B14">
        <v>0.98</v>
      </c>
      <c r="C14">
        <v>0.98</v>
      </c>
      <c r="D14">
        <v>0.98</v>
      </c>
      <c r="E14">
        <v>0.98</v>
      </c>
      <c r="F14">
        <v>0.98</v>
      </c>
      <c r="G14">
        <v>0.97</v>
      </c>
      <c r="H14">
        <v>1.03</v>
      </c>
      <c r="I14">
        <v>1</v>
      </c>
      <c r="J14">
        <v>1.04</v>
      </c>
      <c r="K14">
        <v>1.17</v>
      </c>
      <c r="L14">
        <v>1.29</v>
      </c>
      <c r="M14">
        <v>1.3</v>
      </c>
      <c r="N14">
        <v>1.3</v>
      </c>
      <c r="O14">
        <v>1.3</v>
      </c>
      <c r="P14">
        <v>1.3</v>
      </c>
      <c r="Q14">
        <v>1.3</v>
      </c>
      <c r="R14">
        <v>1.3</v>
      </c>
      <c r="S14">
        <v>1.32</v>
      </c>
      <c r="T14">
        <v>1.1499999999999999</v>
      </c>
      <c r="U14">
        <v>1.1200000000000001</v>
      </c>
      <c r="V14">
        <v>1.0900000000000001</v>
      </c>
      <c r="W14">
        <v>1.1499999999999999</v>
      </c>
    </row>
    <row r="15" spans="1:23" x14ac:dyDescent="0.35">
      <c r="A15" s="2" t="s">
        <v>14</v>
      </c>
      <c r="B15">
        <v>2.87</v>
      </c>
      <c r="C15">
        <v>2.88</v>
      </c>
      <c r="D15">
        <v>2.92</v>
      </c>
      <c r="E15">
        <v>2.93</v>
      </c>
      <c r="F15">
        <v>2.89</v>
      </c>
      <c r="G15">
        <v>2.87</v>
      </c>
      <c r="H15">
        <v>2.85</v>
      </c>
      <c r="I15">
        <v>2.88</v>
      </c>
      <c r="J15">
        <v>2.88</v>
      </c>
      <c r="K15">
        <v>2.86</v>
      </c>
      <c r="L15">
        <v>2.85</v>
      </c>
      <c r="M15">
        <v>2.9</v>
      </c>
      <c r="N15">
        <v>2.93</v>
      </c>
      <c r="O15">
        <v>2.91</v>
      </c>
      <c r="P15">
        <v>2.88</v>
      </c>
      <c r="Q15">
        <v>2.8</v>
      </c>
      <c r="R15">
        <v>2.83</v>
      </c>
      <c r="S15">
        <v>2.83</v>
      </c>
      <c r="T15">
        <v>2.93</v>
      </c>
      <c r="U15">
        <v>3.37</v>
      </c>
      <c r="V15">
        <v>3.46</v>
      </c>
      <c r="W15">
        <v>3.5</v>
      </c>
    </row>
    <row r="16" spans="1:23" x14ac:dyDescent="0.35">
      <c r="A16" s="2" t="s">
        <v>15</v>
      </c>
      <c r="B16">
        <v>7.03</v>
      </c>
      <c r="C16">
        <v>8.49</v>
      </c>
      <c r="D16">
        <v>8.52</v>
      </c>
      <c r="E16">
        <v>8.08</v>
      </c>
      <c r="F16">
        <v>7.96</v>
      </c>
      <c r="G16">
        <v>8.16</v>
      </c>
      <c r="H16">
        <v>7.7</v>
      </c>
      <c r="I16">
        <v>7.61</v>
      </c>
      <c r="J16">
        <v>6.32</v>
      </c>
      <c r="K16">
        <v>6.16</v>
      </c>
      <c r="L16">
        <v>7.07</v>
      </c>
      <c r="M16">
        <v>6.81</v>
      </c>
      <c r="N16">
        <v>7.3</v>
      </c>
      <c r="O16">
        <v>9.2899999999999991</v>
      </c>
      <c r="P16">
        <v>10.38</v>
      </c>
      <c r="Q16">
        <v>11.43</v>
      </c>
      <c r="R16">
        <v>12.5</v>
      </c>
      <c r="S16">
        <v>14.42</v>
      </c>
      <c r="T16">
        <v>19.649999999999999</v>
      </c>
      <c r="U16">
        <v>23.87</v>
      </c>
      <c r="V16">
        <v>23.91</v>
      </c>
      <c r="W16">
        <v>23.37</v>
      </c>
    </row>
    <row r="17" spans="1:23" x14ac:dyDescent="0.35">
      <c r="A17" s="2" t="s">
        <v>16</v>
      </c>
      <c r="B17">
        <v>4.67</v>
      </c>
      <c r="C17">
        <v>5.0199999999999996</v>
      </c>
      <c r="D17">
        <v>5.41</v>
      </c>
      <c r="E17">
        <v>6.16</v>
      </c>
      <c r="F17">
        <v>6.37</v>
      </c>
      <c r="G17">
        <v>6.37</v>
      </c>
      <c r="H17">
        <v>6.57</v>
      </c>
      <c r="I17">
        <v>6.68</v>
      </c>
      <c r="J17">
        <v>6.56</v>
      </c>
      <c r="K17">
        <v>6.59</v>
      </c>
      <c r="L17">
        <v>6.59</v>
      </c>
      <c r="M17">
        <v>6.21</v>
      </c>
      <c r="N17">
        <v>6.1</v>
      </c>
      <c r="O17">
        <v>5.58</v>
      </c>
      <c r="P17">
        <v>5.13</v>
      </c>
      <c r="Q17">
        <v>5.0199999999999996</v>
      </c>
      <c r="R17">
        <v>4.7699999999999996</v>
      </c>
      <c r="S17">
        <v>4.72</v>
      </c>
      <c r="T17">
        <v>4.83</v>
      </c>
      <c r="U17">
        <v>4.78</v>
      </c>
      <c r="V17">
        <v>4.75</v>
      </c>
      <c r="W17">
        <v>4.7300000000000004</v>
      </c>
    </row>
    <row r="18" spans="1:23" x14ac:dyDescent="0.35">
      <c r="A18" s="2" t="s">
        <v>17</v>
      </c>
      <c r="B18">
        <v>1.61</v>
      </c>
      <c r="C18">
        <v>1.71</v>
      </c>
      <c r="D18">
        <v>1.74</v>
      </c>
      <c r="E18">
        <v>1.53</v>
      </c>
      <c r="F18">
        <v>1.51</v>
      </c>
      <c r="G18">
        <v>1.55</v>
      </c>
      <c r="H18">
        <v>1.78</v>
      </c>
      <c r="I18">
        <v>1.74</v>
      </c>
      <c r="J18">
        <v>1.73</v>
      </c>
      <c r="K18">
        <v>1.73</v>
      </c>
      <c r="L18">
        <v>1.72</v>
      </c>
      <c r="M18">
        <v>1.7</v>
      </c>
      <c r="N18">
        <v>1.63</v>
      </c>
      <c r="O18">
        <v>1.43</v>
      </c>
      <c r="P18">
        <v>1.34</v>
      </c>
      <c r="Q18">
        <v>1.42</v>
      </c>
      <c r="R18">
        <v>1.46</v>
      </c>
      <c r="S18">
        <v>1.42</v>
      </c>
      <c r="T18">
        <v>1.42</v>
      </c>
      <c r="U18">
        <v>1.48</v>
      </c>
      <c r="V18">
        <v>1.51</v>
      </c>
      <c r="W18">
        <v>1.58</v>
      </c>
    </row>
    <row r="19" spans="1:23" x14ac:dyDescent="0.35">
      <c r="A19" s="2" t="s">
        <v>18</v>
      </c>
      <c r="B19">
        <v>166.11</v>
      </c>
      <c r="C19">
        <v>167.27</v>
      </c>
      <c r="D19">
        <v>166.88</v>
      </c>
      <c r="E19">
        <v>171.7</v>
      </c>
      <c r="F19">
        <v>166.98</v>
      </c>
      <c r="G19">
        <v>165.92</v>
      </c>
      <c r="H19">
        <v>166.02</v>
      </c>
      <c r="I19">
        <v>168.33</v>
      </c>
      <c r="J19">
        <v>168.14</v>
      </c>
      <c r="K19">
        <v>173.24</v>
      </c>
      <c r="L19">
        <v>175.64</v>
      </c>
      <c r="M19">
        <v>174.49</v>
      </c>
      <c r="N19">
        <v>174.01</v>
      </c>
      <c r="O19">
        <v>175.45</v>
      </c>
      <c r="P19">
        <v>176.41</v>
      </c>
      <c r="Q19">
        <v>177.28</v>
      </c>
      <c r="R19">
        <v>174.01</v>
      </c>
      <c r="S19">
        <v>173.72</v>
      </c>
      <c r="T19">
        <v>173.62</v>
      </c>
      <c r="U19">
        <v>173.04</v>
      </c>
      <c r="V19">
        <v>173.91</v>
      </c>
      <c r="W19">
        <v>191.52</v>
      </c>
    </row>
    <row r="20" spans="1:23" x14ac:dyDescent="0.35">
      <c r="A20" s="2" t="s">
        <v>19</v>
      </c>
      <c r="B20">
        <v>161.31</v>
      </c>
      <c r="C20">
        <v>173.14</v>
      </c>
      <c r="D20">
        <v>181.96</v>
      </c>
      <c r="E20">
        <v>196.51</v>
      </c>
      <c r="F20">
        <v>213.33</v>
      </c>
      <c r="G20">
        <v>205.78</v>
      </c>
      <c r="H20">
        <v>189.69</v>
      </c>
      <c r="I20">
        <v>200.6</v>
      </c>
      <c r="J20">
        <v>189.41</v>
      </c>
      <c r="K20">
        <v>175.59</v>
      </c>
      <c r="L20">
        <v>175.23</v>
      </c>
      <c r="M20">
        <v>171.5</v>
      </c>
      <c r="N20">
        <v>168.23</v>
      </c>
      <c r="O20">
        <v>166.04</v>
      </c>
      <c r="P20">
        <v>163.59</v>
      </c>
      <c r="Q20">
        <v>163.68</v>
      </c>
      <c r="R20">
        <v>159.41</v>
      </c>
      <c r="S20">
        <v>154.68</v>
      </c>
      <c r="T20">
        <v>150.94999999999999</v>
      </c>
      <c r="U20">
        <v>155.13</v>
      </c>
      <c r="V20">
        <v>155.86000000000001</v>
      </c>
      <c r="W20">
        <v>151.94999999999999</v>
      </c>
    </row>
    <row r="21" spans="1:23" x14ac:dyDescent="0.35">
      <c r="A21" s="2" t="s">
        <v>20</v>
      </c>
      <c r="B21">
        <v>117.39</v>
      </c>
      <c r="C21">
        <v>127.87</v>
      </c>
      <c r="D21">
        <v>136.5</v>
      </c>
      <c r="E21">
        <v>154.80000000000001</v>
      </c>
      <c r="F21">
        <v>173.47</v>
      </c>
      <c r="G21">
        <v>166.9</v>
      </c>
      <c r="H21">
        <v>150.22999999999999</v>
      </c>
      <c r="I21">
        <v>162.03</v>
      </c>
      <c r="J21">
        <v>148.68</v>
      </c>
      <c r="K21">
        <v>132.37</v>
      </c>
      <c r="L21">
        <v>135.03</v>
      </c>
      <c r="M21">
        <v>132</v>
      </c>
      <c r="N21">
        <v>127.43</v>
      </c>
      <c r="O21">
        <v>126.25</v>
      </c>
      <c r="P21">
        <v>124.92</v>
      </c>
      <c r="Q21">
        <v>127.06</v>
      </c>
      <c r="R21">
        <v>122.41</v>
      </c>
      <c r="S21">
        <v>119.31</v>
      </c>
      <c r="T21">
        <v>116.36</v>
      </c>
      <c r="U21">
        <v>119.68</v>
      </c>
      <c r="V21">
        <v>121.01</v>
      </c>
      <c r="W21">
        <v>117.62</v>
      </c>
    </row>
    <row r="22" spans="1:23" x14ac:dyDescent="0.35">
      <c r="A22" s="2" t="s">
        <v>21</v>
      </c>
      <c r="B22">
        <v>5.45</v>
      </c>
      <c r="C22">
        <v>5.45</v>
      </c>
      <c r="D22">
        <v>5.45</v>
      </c>
      <c r="E22">
        <v>5.45</v>
      </c>
      <c r="F22">
        <v>5.45</v>
      </c>
      <c r="G22">
        <v>5.45</v>
      </c>
      <c r="H22">
        <v>5.45</v>
      </c>
      <c r="I22">
        <v>5.45</v>
      </c>
      <c r="J22">
        <v>5.45</v>
      </c>
      <c r="K22">
        <v>5.45</v>
      </c>
      <c r="L22">
        <v>5.45</v>
      </c>
      <c r="M22">
        <v>5.45</v>
      </c>
      <c r="N22">
        <v>5.45</v>
      </c>
      <c r="O22">
        <v>5.45</v>
      </c>
      <c r="P22">
        <v>5.45</v>
      </c>
      <c r="Q22">
        <v>5.45</v>
      </c>
      <c r="R22">
        <v>5.45</v>
      </c>
      <c r="S22">
        <v>5.45</v>
      </c>
      <c r="T22">
        <v>5.45</v>
      </c>
      <c r="U22">
        <v>5.45</v>
      </c>
      <c r="V22">
        <v>5.45</v>
      </c>
      <c r="W22">
        <v>5.45</v>
      </c>
    </row>
    <row r="23" spans="1:23" x14ac:dyDescent="0.35">
      <c r="A23" s="2" t="s">
        <v>22</v>
      </c>
      <c r="B23">
        <v>19.329999999999998</v>
      </c>
      <c r="C23">
        <v>20.67</v>
      </c>
      <c r="D23">
        <v>21.05</v>
      </c>
      <c r="E23">
        <v>18.010000000000002</v>
      </c>
      <c r="F23">
        <v>16.96</v>
      </c>
      <c r="G23">
        <v>16.21</v>
      </c>
      <c r="H23">
        <v>16.72</v>
      </c>
      <c r="I23">
        <v>16.57</v>
      </c>
      <c r="J23">
        <v>17.84</v>
      </c>
      <c r="K23">
        <v>19.78</v>
      </c>
      <c r="L23">
        <v>17.96</v>
      </c>
      <c r="M23">
        <v>17.38</v>
      </c>
      <c r="N23">
        <v>18.46</v>
      </c>
      <c r="O23">
        <v>17.57</v>
      </c>
      <c r="P23">
        <v>16.68</v>
      </c>
      <c r="Q23">
        <v>14.88</v>
      </c>
      <c r="R23">
        <v>15.15</v>
      </c>
      <c r="S23">
        <v>14.12</v>
      </c>
      <c r="T23">
        <v>13.12</v>
      </c>
      <c r="U23">
        <v>13.98</v>
      </c>
      <c r="V23">
        <v>14.1</v>
      </c>
      <c r="W23">
        <v>14.13</v>
      </c>
    </row>
    <row r="24" spans="1:23" x14ac:dyDescent="0.35">
      <c r="A24" s="2" t="s">
        <v>23</v>
      </c>
      <c r="B24">
        <v>2.0499999999999998</v>
      </c>
      <c r="C24">
        <v>2.12</v>
      </c>
      <c r="D24">
        <v>2.11</v>
      </c>
      <c r="E24">
        <v>2.12</v>
      </c>
      <c r="F24">
        <v>2.1</v>
      </c>
      <c r="G24">
        <v>2.04</v>
      </c>
      <c r="H24">
        <v>1.98</v>
      </c>
      <c r="I24">
        <v>1.99</v>
      </c>
      <c r="J24">
        <v>1.97</v>
      </c>
      <c r="K24">
        <v>1.95</v>
      </c>
      <c r="L24">
        <v>1.95</v>
      </c>
      <c r="M24">
        <v>1.99</v>
      </c>
      <c r="N24">
        <v>1.99</v>
      </c>
      <c r="O24">
        <v>2.0099999999999998</v>
      </c>
      <c r="P24">
        <v>1.93</v>
      </c>
      <c r="Q24">
        <v>1.97</v>
      </c>
      <c r="R24">
        <v>1.92</v>
      </c>
      <c r="S24">
        <v>1.87</v>
      </c>
      <c r="T24">
        <v>1.79</v>
      </c>
      <c r="U24">
        <v>1.81</v>
      </c>
      <c r="V24">
        <v>1.83</v>
      </c>
      <c r="W24">
        <v>1.85</v>
      </c>
    </row>
    <row r="25" spans="1:23" x14ac:dyDescent="0.35">
      <c r="A25" s="2" t="s">
        <v>24</v>
      </c>
      <c r="B25">
        <v>17.84</v>
      </c>
      <c r="C25">
        <v>17.77</v>
      </c>
      <c r="D25">
        <v>17.57</v>
      </c>
      <c r="E25">
        <v>17.34</v>
      </c>
      <c r="F25">
        <v>16.98</v>
      </c>
      <c r="G25">
        <v>16.11</v>
      </c>
      <c r="H25">
        <v>15.96</v>
      </c>
      <c r="I25">
        <v>15.91</v>
      </c>
      <c r="J25">
        <v>16.059999999999999</v>
      </c>
      <c r="K25">
        <v>15.89</v>
      </c>
      <c r="L25">
        <v>15.8</v>
      </c>
      <c r="M25">
        <v>15.66</v>
      </c>
      <c r="N25">
        <v>15.04</v>
      </c>
      <c r="O25">
        <v>14.56</v>
      </c>
      <c r="P25">
        <v>13.94</v>
      </c>
      <c r="Q25">
        <v>13.86</v>
      </c>
      <c r="R25">
        <v>13.81</v>
      </c>
      <c r="S25">
        <v>12.85</v>
      </c>
      <c r="T25">
        <v>12.94</v>
      </c>
      <c r="U25">
        <v>13.38</v>
      </c>
      <c r="V25">
        <v>12.83</v>
      </c>
      <c r="W25">
        <v>13.02</v>
      </c>
    </row>
    <row r="26" spans="1:23" x14ac:dyDescent="0.35">
      <c r="A26" s="2" t="s">
        <v>25</v>
      </c>
      <c r="B26">
        <v>1.79</v>
      </c>
      <c r="C26">
        <v>1.79</v>
      </c>
      <c r="D26">
        <v>1.81</v>
      </c>
      <c r="E26">
        <v>1.82</v>
      </c>
      <c r="F26">
        <v>1.84</v>
      </c>
      <c r="G26">
        <v>1.79</v>
      </c>
      <c r="H26">
        <v>1.72</v>
      </c>
      <c r="I26">
        <v>1.76</v>
      </c>
      <c r="J26">
        <v>1.77</v>
      </c>
      <c r="K26">
        <v>1.8</v>
      </c>
      <c r="L26">
        <v>1.84</v>
      </c>
      <c r="M26">
        <v>1.86</v>
      </c>
      <c r="N26">
        <v>2.0099999999999998</v>
      </c>
      <c r="O26">
        <v>2.0499999999999998</v>
      </c>
      <c r="P26">
        <v>2.0299999999999998</v>
      </c>
      <c r="Q26">
        <v>2.04</v>
      </c>
      <c r="R26">
        <v>2.02</v>
      </c>
      <c r="S26">
        <v>2.13</v>
      </c>
      <c r="T26">
        <v>2.1800000000000002</v>
      </c>
      <c r="U26">
        <v>2.2000000000000002</v>
      </c>
      <c r="V26">
        <v>2.2200000000000002</v>
      </c>
      <c r="W26">
        <v>2.2000000000000002</v>
      </c>
    </row>
    <row r="27" spans="1:23" x14ac:dyDescent="0.35">
      <c r="A27" s="2" t="s">
        <v>26</v>
      </c>
      <c r="B27">
        <v>0.46</v>
      </c>
      <c r="C27">
        <v>0.45</v>
      </c>
      <c r="D27">
        <v>0.48</v>
      </c>
      <c r="E27">
        <v>0.49</v>
      </c>
      <c r="F27">
        <v>0.45</v>
      </c>
      <c r="G27">
        <v>0.41</v>
      </c>
      <c r="H27">
        <v>0.42</v>
      </c>
      <c r="I27">
        <v>0.43</v>
      </c>
      <c r="J27">
        <v>0.44</v>
      </c>
      <c r="K27">
        <v>0.43</v>
      </c>
      <c r="L27">
        <v>0.44</v>
      </c>
      <c r="M27">
        <v>0.45</v>
      </c>
      <c r="N27">
        <v>0.44</v>
      </c>
      <c r="O27">
        <v>0.42</v>
      </c>
      <c r="P27">
        <v>0.41</v>
      </c>
      <c r="Q27">
        <v>0.39</v>
      </c>
      <c r="R27">
        <v>0.37</v>
      </c>
      <c r="S27">
        <v>0.38</v>
      </c>
      <c r="T27">
        <v>0.36</v>
      </c>
      <c r="U27">
        <v>0.36</v>
      </c>
      <c r="V27">
        <v>0.37</v>
      </c>
      <c r="W27">
        <v>0.35</v>
      </c>
    </row>
    <row r="28" spans="1:23" x14ac:dyDescent="0.35">
      <c r="A28" s="2" t="s">
        <v>27</v>
      </c>
      <c r="B28">
        <v>0.31</v>
      </c>
      <c r="C28">
        <v>0.31</v>
      </c>
      <c r="D28">
        <v>0.31</v>
      </c>
      <c r="E28">
        <v>0.31</v>
      </c>
      <c r="F28">
        <v>0.31</v>
      </c>
      <c r="G28">
        <v>0.31</v>
      </c>
      <c r="H28">
        <v>0.31</v>
      </c>
      <c r="I28">
        <v>0.31</v>
      </c>
      <c r="J28">
        <v>0.31</v>
      </c>
      <c r="K28">
        <v>0.31</v>
      </c>
      <c r="L28">
        <v>0.31</v>
      </c>
      <c r="M28">
        <v>0.31</v>
      </c>
      <c r="N28">
        <v>0.31</v>
      </c>
      <c r="O28">
        <v>0.31</v>
      </c>
      <c r="P28">
        <v>0.31</v>
      </c>
      <c r="Q28">
        <v>0.31</v>
      </c>
      <c r="R28">
        <v>0.31</v>
      </c>
      <c r="S28">
        <v>0.31</v>
      </c>
      <c r="T28">
        <v>0.31</v>
      </c>
      <c r="U28">
        <v>0.31</v>
      </c>
      <c r="V28">
        <v>0.31</v>
      </c>
      <c r="W28">
        <v>0.31</v>
      </c>
    </row>
    <row r="29" spans="1:23" x14ac:dyDescent="0.35">
      <c r="A29" s="2" t="s">
        <v>28</v>
      </c>
      <c r="B29">
        <v>10.65</v>
      </c>
      <c r="C29">
        <v>10.65</v>
      </c>
      <c r="D29">
        <v>10.65</v>
      </c>
      <c r="E29">
        <v>10.65</v>
      </c>
      <c r="F29">
        <v>10.65</v>
      </c>
      <c r="G29">
        <v>10.65</v>
      </c>
      <c r="H29">
        <v>10.65</v>
      </c>
      <c r="I29">
        <v>10.65</v>
      </c>
      <c r="J29">
        <v>10.65</v>
      </c>
      <c r="K29">
        <v>10.65</v>
      </c>
      <c r="L29">
        <v>10.65</v>
      </c>
      <c r="M29">
        <v>10.65</v>
      </c>
      <c r="N29">
        <v>10.65</v>
      </c>
      <c r="O29">
        <v>10.65</v>
      </c>
      <c r="P29">
        <v>10.65</v>
      </c>
      <c r="Q29">
        <v>10.65</v>
      </c>
      <c r="R29">
        <v>10.65</v>
      </c>
      <c r="S29">
        <v>10.65</v>
      </c>
      <c r="T29">
        <v>10.65</v>
      </c>
      <c r="U29">
        <v>10.65</v>
      </c>
      <c r="V29">
        <v>10.65</v>
      </c>
      <c r="W29">
        <v>10.65</v>
      </c>
    </row>
    <row r="30" spans="1:23" x14ac:dyDescent="0.35">
      <c r="A30" s="2" t="s">
        <v>29</v>
      </c>
      <c r="B30">
        <v>23.57</v>
      </c>
      <c r="C30">
        <v>23.93</v>
      </c>
      <c r="D30">
        <v>24.84</v>
      </c>
      <c r="E30">
        <v>24.99</v>
      </c>
      <c r="F30">
        <v>25.2</v>
      </c>
      <c r="G30">
        <v>25.68</v>
      </c>
      <c r="H30">
        <v>25.5</v>
      </c>
      <c r="I30">
        <v>23.87</v>
      </c>
      <c r="J30">
        <v>21.82</v>
      </c>
      <c r="K30">
        <v>22.09</v>
      </c>
      <c r="L30">
        <v>21.64</v>
      </c>
      <c r="M30">
        <v>20.46</v>
      </c>
      <c r="N30">
        <v>20.309999999999999</v>
      </c>
      <c r="O30">
        <v>20.82</v>
      </c>
      <c r="P30">
        <v>20.97</v>
      </c>
      <c r="Q30">
        <v>21.97</v>
      </c>
      <c r="R30">
        <v>23</v>
      </c>
      <c r="S30">
        <v>22.66</v>
      </c>
      <c r="T30">
        <v>22.39</v>
      </c>
      <c r="U30">
        <v>21.4</v>
      </c>
      <c r="V30">
        <v>21.28</v>
      </c>
      <c r="W30">
        <v>21.76</v>
      </c>
    </row>
    <row r="31" spans="1:23" x14ac:dyDescent="0.35">
      <c r="A31" s="2" t="s">
        <v>30</v>
      </c>
      <c r="B31">
        <v>82.86</v>
      </c>
      <c r="C31">
        <v>82.86</v>
      </c>
      <c r="D31">
        <v>82.86</v>
      </c>
      <c r="E31">
        <v>82.86</v>
      </c>
      <c r="F31">
        <v>82.86</v>
      </c>
      <c r="G31">
        <v>82.86</v>
      </c>
      <c r="H31">
        <v>83.45</v>
      </c>
      <c r="I31">
        <v>84.3</v>
      </c>
      <c r="J31">
        <v>84.3</v>
      </c>
      <c r="K31">
        <v>84.3</v>
      </c>
      <c r="L31">
        <v>84.3</v>
      </c>
      <c r="M31">
        <v>84.3</v>
      </c>
      <c r="N31">
        <v>84.3</v>
      </c>
      <c r="O31">
        <v>84.3</v>
      </c>
      <c r="P31">
        <v>85.92</v>
      </c>
      <c r="Q31">
        <v>85.92</v>
      </c>
      <c r="R31">
        <v>85.84</v>
      </c>
      <c r="S31">
        <v>86.69</v>
      </c>
      <c r="T31">
        <v>86.69</v>
      </c>
      <c r="U31">
        <v>88.05</v>
      </c>
      <c r="V31">
        <v>89.07</v>
      </c>
      <c r="W31">
        <v>89.07</v>
      </c>
    </row>
    <row r="32" spans="1:23" x14ac:dyDescent="0.35">
      <c r="A32" s="2" t="s">
        <v>31</v>
      </c>
      <c r="B32">
        <v>93.13</v>
      </c>
      <c r="C32">
        <v>94.61</v>
      </c>
      <c r="D32">
        <v>100.03</v>
      </c>
      <c r="E32">
        <v>100.17</v>
      </c>
      <c r="F32">
        <v>101.85</v>
      </c>
      <c r="G32">
        <v>103.67</v>
      </c>
      <c r="H32">
        <v>106.23</v>
      </c>
      <c r="I32">
        <v>107.95</v>
      </c>
      <c r="J32">
        <v>106.18</v>
      </c>
      <c r="K32">
        <v>105.2</v>
      </c>
      <c r="L32">
        <v>114.01</v>
      </c>
      <c r="M32">
        <v>118.25</v>
      </c>
      <c r="N32">
        <v>122.14</v>
      </c>
      <c r="O32">
        <v>117.61</v>
      </c>
      <c r="P32">
        <v>117.16</v>
      </c>
      <c r="Q32">
        <v>116.92</v>
      </c>
      <c r="R32">
        <v>112.04</v>
      </c>
      <c r="S32">
        <v>109.73</v>
      </c>
      <c r="T32">
        <v>114.31</v>
      </c>
      <c r="U32">
        <v>114.01</v>
      </c>
      <c r="V32">
        <v>117.16</v>
      </c>
      <c r="W32">
        <v>119.43</v>
      </c>
    </row>
    <row r="33" spans="1:23" x14ac:dyDescent="0.35">
      <c r="A33" s="2" t="s">
        <v>32</v>
      </c>
      <c r="B33">
        <v>61.87</v>
      </c>
      <c r="C33">
        <v>61.45</v>
      </c>
      <c r="D33">
        <v>53.76</v>
      </c>
      <c r="E33">
        <v>48.87</v>
      </c>
      <c r="F33">
        <v>45.97</v>
      </c>
      <c r="G33">
        <v>41.56</v>
      </c>
      <c r="H33">
        <v>47.75</v>
      </c>
      <c r="I33">
        <v>52.17</v>
      </c>
      <c r="J33">
        <v>50.22</v>
      </c>
      <c r="K33">
        <v>63.2</v>
      </c>
      <c r="L33">
        <v>52.43</v>
      </c>
      <c r="M33">
        <v>61.11</v>
      </c>
      <c r="N33">
        <v>68.14</v>
      </c>
      <c r="O33">
        <v>63.03</v>
      </c>
      <c r="P33">
        <v>59.65</v>
      </c>
      <c r="Q33">
        <v>53.38</v>
      </c>
      <c r="R33">
        <v>53</v>
      </c>
      <c r="S33">
        <v>46.07</v>
      </c>
      <c r="T33">
        <v>55.56</v>
      </c>
      <c r="U33">
        <v>56.17</v>
      </c>
      <c r="V33">
        <v>58.78</v>
      </c>
      <c r="W33">
        <v>63.29</v>
      </c>
    </row>
    <row r="34" spans="1:23" x14ac:dyDescent="0.35">
      <c r="A34" s="2" t="s">
        <v>33</v>
      </c>
      <c r="B34">
        <v>35.090000000000003</v>
      </c>
      <c r="C34">
        <v>38.26</v>
      </c>
      <c r="D34">
        <v>33.86</v>
      </c>
      <c r="E34">
        <v>32.53</v>
      </c>
      <c r="F34">
        <v>32.47</v>
      </c>
      <c r="G34">
        <v>28.36</v>
      </c>
      <c r="H34">
        <v>33.06</v>
      </c>
      <c r="I34">
        <v>35.86</v>
      </c>
      <c r="J34">
        <v>34.89</v>
      </c>
      <c r="K34">
        <v>43.49</v>
      </c>
      <c r="L34">
        <v>34.06</v>
      </c>
      <c r="M34">
        <v>37.450000000000003</v>
      </c>
      <c r="N34">
        <v>42.05</v>
      </c>
      <c r="O34">
        <v>39.76</v>
      </c>
      <c r="P34">
        <v>39.28</v>
      </c>
      <c r="Q34">
        <v>36.29</v>
      </c>
      <c r="R34">
        <v>36.85</v>
      </c>
      <c r="S34">
        <v>33.229999999999997</v>
      </c>
      <c r="T34">
        <v>39.58</v>
      </c>
      <c r="U34">
        <v>38.4</v>
      </c>
      <c r="V34">
        <v>39.590000000000003</v>
      </c>
      <c r="W34">
        <v>41.13</v>
      </c>
    </row>
    <row r="35" spans="1:23" x14ac:dyDescent="0.35">
      <c r="A35" s="2" t="s">
        <v>34</v>
      </c>
      <c r="B35">
        <v>3.92</v>
      </c>
      <c r="C35">
        <v>3.68</v>
      </c>
      <c r="D35">
        <v>3.08</v>
      </c>
      <c r="E35">
        <v>4.29</v>
      </c>
      <c r="F35">
        <v>3.99</v>
      </c>
      <c r="G35">
        <v>3.38</v>
      </c>
      <c r="H35">
        <v>3.27</v>
      </c>
      <c r="I35">
        <v>3.81</v>
      </c>
      <c r="J35">
        <v>3.64</v>
      </c>
      <c r="K35">
        <v>4.53</v>
      </c>
      <c r="L35">
        <v>3.19</v>
      </c>
      <c r="M35">
        <v>3.3</v>
      </c>
      <c r="N35">
        <v>3.84</v>
      </c>
      <c r="O35">
        <v>3.75</v>
      </c>
      <c r="P35">
        <v>3.59</v>
      </c>
      <c r="Q35">
        <v>3.73</v>
      </c>
      <c r="R35">
        <v>3.81</v>
      </c>
      <c r="S35">
        <v>3.28</v>
      </c>
      <c r="T35">
        <v>4.42</v>
      </c>
      <c r="U35">
        <v>4.45</v>
      </c>
      <c r="V35">
        <v>4.3099999999999996</v>
      </c>
      <c r="W35">
        <v>4.45</v>
      </c>
    </row>
    <row r="36" spans="1:23" x14ac:dyDescent="0.35">
      <c r="A36" s="2" t="s">
        <v>35</v>
      </c>
      <c r="B36">
        <v>7.62</v>
      </c>
      <c r="C36">
        <v>7.67</v>
      </c>
      <c r="D36">
        <v>7.67</v>
      </c>
      <c r="E36">
        <v>9.1199999999999992</v>
      </c>
      <c r="F36">
        <v>8.8699999999999992</v>
      </c>
      <c r="G36">
        <v>8.64</v>
      </c>
      <c r="H36">
        <v>8.4600000000000009</v>
      </c>
      <c r="I36">
        <v>8.43</v>
      </c>
      <c r="J36">
        <v>8.3800000000000008</v>
      </c>
      <c r="K36">
        <v>8.26</v>
      </c>
      <c r="L36">
        <v>8.19</v>
      </c>
      <c r="M36">
        <v>8.1300000000000008</v>
      </c>
      <c r="N36">
        <v>8.08</v>
      </c>
      <c r="O36">
        <v>8</v>
      </c>
      <c r="P36">
        <v>7.3</v>
      </c>
      <c r="Q36">
        <v>7.65</v>
      </c>
      <c r="R36">
        <v>7.71</v>
      </c>
      <c r="S36">
        <v>7.75</v>
      </c>
      <c r="T36">
        <v>7.65</v>
      </c>
      <c r="U36">
        <v>7.74</v>
      </c>
      <c r="V36">
        <v>8.1</v>
      </c>
      <c r="W36">
        <v>8.34</v>
      </c>
    </row>
    <row r="37" spans="1:23" x14ac:dyDescent="0.35">
      <c r="A37" s="2" t="s">
        <v>36</v>
      </c>
      <c r="B37">
        <v>100.28</v>
      </c>
      <c r="C37">
        <v>100.41</v>
      </c>
      <c r="D37">
        <v>100.41</v>
      </c>
      <c r="E37">
        <v>81.31</v>
      </c>
      <c r="F37">
        <v>81.31</v>
      </c>
      <c r="G37">
        <v>80.540000000000006</v>
      </c>
      <c r="H37">
        <v>75.53</v>
      </c>
      <c r="I37">
        <v>72.599999999999994</v>
      </c>
      <c r="J37">
        <v>67.790000000000006</v>
      </c>
      <c r="K37">
        <v>78.27</v>
      </c>
      <c r="L37">
        <v>79.81</v>
      </c>
      <c r="M37">
        <v>83.85</v>
      </c>
      <c r="N37">
        <v>79.239999999999995</v>
      </c>
      <c r="O37">
        <v>90.6</v>
      </c>
      <c r="P37">
        <v>94.6</v>
      </c>
      <c r="Q37">
        <v>94.6</v>
      </c>
      <c r="R37">
        <v>88.96</v>
      </c>
      <c r="S37">
        <v>82.75</v>
      </c>
      <c r="T37">
        <v>89.96</v>
      </c>
      <c r="U37">
        <v>81.650000000000006</v>
      </c>
      <c r="V37">
        <v>88.39</v>
      </c>
      <c r="W37">
        <v>87.99</v>
      </c>
    </row>
    <row r="38" spans="1:23" x14ac:dyDescent="0.35">
      <c r="A38" s="2" t="s">
        <v>37</v>
      </c>
      <c r="B38">
        <v>260.33</v>
      </c>
      <c r="C38">
        <v>266.29000000000002</v>
      </c>
      <c r="D38">
        <v>322.7</v>
      </c>
      <c r="E38">
        <v>324.61</v>
      </c>
      <c r="F38">
        <v>352.29</v>
      </c>
      <c r="G38">
        <v>375.49</v>
      </c>
      <c r="H38">
        <v>356.76</v>
      </c>
      <c r="I38">
        <v>330.57</v>
      </c>
      <c r="J38">
        <v>309.29000000000002</v>
      </c>
      <c r="K38">
        <v>363.36</v>
      </c>
      <c r="L38">
        <v>364.42</v>
      </c>
      <c r="M38">
        <v>324.39999999999998</v>
      </c>
      <c r="N38">
        <v>322.27</v>
      </c>
      <c r="O38">
        <v>304.82</v>
      </c>
      <c r="P38">
        <v>318.87</v>
      </c>
      <c r="Q38">
        <v>329.94</v>
      </c>
      <c r="R38">
        <v>304.18</v>
      </c>
      <c r="S38">
        <v>295.02999999999997</v>
      </c>
      <c r="T38">
        <v>308.01</v>
      </c>
      <c r="U38">
        <v>324.19</v>
      </c>
      <c r="V38">
        <v>357.61</v>
      </c>
      <c r="W38">
        <v>355.48</v>
      </c>
    </row>
    <row r="39" spans="1:23" x14ac:dyDescent="0.35">
      <c r="A39" s="2" t="s">
        <v>38</v>
      </c>
      <c r="B39">
        <v>204.14</v>
      </c>
      <c r="C39">
        <v>210.18</v>
      </c>
      <c r="D39">
        <v>226.2</v>
      </c>
      <c r="E39">
        <v>237.38</v>
      </c>
      <c r="F39">
        <v>262.16000000000003</v>
      </c>
      <c r="G39">
        <v>281.5</v>
      </c>
      <c r="H39">
        <v>272.44</v>
      </c>
      <c r="I39">
        <v>248.11</v>
      </c>
      <c r="J39">
        <v>243.73</v>
      </c>
      <c r="K39">
        <v>236.32</v>
      </c>
      <c r="L39">
        <v>239.5</v>
      </c>
      <c r="M39">
        <v>234.96</v>
      </c>
      <c r="N39">
        <v>235.87</v>
      </c>
      <c r="O39">
        <v>242.22</v>
      </c>
      <c r="P39">
        <v>240.86</v>
      </c>
      <c r="Q39">
        <v>241.01</v>
      </c>
      <c r="R39">
        <v>237.23</v>
      </c>
      <c r="S39">
        <v>235.57</v>
      </c>
      <c r="T39">
        <v>235.72</v>
      </c>
      <c r="U39">
        <v>242.82</v>
      </c>
      <c r="V39">
        <v>246.75</v>
      </c>
      <c r="W39">
        <v>244.48</v>
      </c>
    </row>
    <row r="40" spans="1:23" x14ac:dyDescent="0.35">
      <c r="A40" s="2" t="s">
        <v>39</v>
      </c>
      <c r="B40">
        <v>9.91</v>
      </c>
      <c r="C40">
        <v>9.7899999999999991</v>
      </c>
      <c r="D40">
        <v>9.89</v>
      </c>
      <c r="E40">
        <v>10.01</v>
      </c>
      <c r="F40">
        <v>10.26</v>
      </c>
      <c r="G40">
        <v>10.39</v>
      </c>
      <c r="H40">
        <v>10.51</v>
      </c>
      <c r="I40">
        <v>10.220000000000001</v>
      </c>
      <c r="J40">
        <v>9.9499999999999993</v>
      </c>
      <c r="K40">
        <v>9.9</v>
      </c>
      <c r="L40">
        <v>9.66</v>
      </c>
      <c r="M40">
        <v>10.199999999999999</v>
      </c>
      <c r="N40">
        <v>10.050000000000001</v>
      </c>
      <c r="O40">
        <v>10.039999999999999</v>
      </c>
      <c r="P40">
        <v>10.38</v>
      </c>
      <c r="Q40">
        <v>10.53</v>
      </c>
      <c r="R40">
        <v>10.49</v>
      </c>
      <c r="S40">
        <v>10.08</v>
      </c>
      <c r="T40">
        <v>9.9499999999999993</v>
      </c>
      <c r="U40">
        <v>10.01</v>
      </c>
      <c r="V40">
        <v>10.06</v>
      </c>
      <c r="W40">
        <v>10.14</v>
      </c>
    </row>
    <row r="41" spans="1:23" x14ac:dyDescent="0.35">
      <c r="A41" s="2" t="s">
        <v>40</v>
      </c>
      <c r="B41">
        <v>20.95</v>
      </c>
      <c r="C41">
        <v>21.09</v>
      </c>
      <c r="D41">
        <v>20.2</v>
      </c>
      <c r="E41">
        <v>21.14</v>
      </c>
      <c r="F41">
        <v>20.77</v>
      </c>
      <c r="G41">
        <v>20.6</v>
      </c>
      <c r="H41">
        <v>21.34</v>
      </c>
      <c r="I41">
        <v>21.74</v>
      </c>
      <c r="J41">
        <v>21.17</v>
      </c>
      <c r="K41">
        <v>19.47</v>
      </c>
      <c r="L41">
        <v>19.78</v>
      </c>
      <c r="M41">
        <v>20.81</v>
      </c>
      <c r="N41">
        <v>20</v>
      </c>
      <c r="O41">
        <v>20.36</v>
      </c>
      <c r="P41">
        <v>19.649999999999999</v>
      </c>
      <c r="Q41">
        <v>19.28</v>
      </c>
      <c r="R41">
        <v>19.2</v>
      </c>
      <c r="S41">
        <v>19.61</v>
      </c>
      <c r="T41">
        <v>19.78</v>
      </c>
      <c r="U41">
        <v>20.22</v>
      </c>
      <c r="V41">
        <v>20.170000000000002</v>
      </c>
      <c r="W41">
        <v>20.25</v>
      </c>
    </row>
    <row r="42" spans="1:23" x14ac:dyDescent="0.35">
      <c r="A42" s="2" t="s">
        <v>41</v>
      </c>
      <c r="B42">
        <v>10.41</v>
      </c>
      <c r="C42">
        <v>11.45</v>
      </c>
      <c r="D42">
        <v>12.34</v>
      </c>
      <c r="E42">
        <v>12.69</v>
      </c>
      <c r="F42">
        <v>12.87</v>
      </c>
      <c r="G42">
        <v>12.59</v>
      </c>
      <c r="H42">
        <v>12.18</v>
      </c>
      <c r="I42">
        <v>12</v>
      </c>
      <c r="J42">
        <v>11.53</v>
      </c>
      <c r="K42">
        <v>11.49</v>
      </c>
      <c r="L42">
        <v>11.2</v>
      </c>
      <c r="M42">
        <v>10.62</v>
      </c>
      <c r="N42">
        <v>10.16</v>
      </c>
      <c r="O42">
        <v>9.59</v>
      </c>
      <c r="P42">
        <v>9.18</v>
      </c>
      <c r="Q42">
        <v>8.81</v>
      </c>
      <c r="R42">
        <v>8.15</v>
      </c>
      <c r="S42">
        <v>8.1</v>
      </c>
      <c r="T42">
        <v>8.4</v>
      </c>
      <c r="U42">
        <v>8.2899999999999991</v>
      </c>
      <c r="V42">
        <v>8.02</v>
      </c>
      <c r="W42">
        <v>7.91</v>
      </c>
    </row>
    <row r="43" spans="1:23" x14ac:dyDescent="0.35">
      <c r="A43" s="2" t="s">
        <v>789</v>
      </c>
      <c r="B43">
        <v>168.61</v>
      </c>
      <c r="C43">
        <v>171.54</v>
      </c>
      <c r="D43">
        <v>176.51</v>
      </c>
      <c r="E43">
        <v>180.01</v>
      </c>
      <c r="F43">
        <v>181.48</v>
      </c>
      <c r="G43">
        <v>181.37</v>
      </c>
      <c r="H43">
        <v>183.4</v>
      </c>
      <c r="I43">
        <v>185.09</v>
      </c>
      <c r="J43">
        <v>188.14</v>
      </c>
      <c r="K43">
        <v>189.95</v>
      </c>
      <c r="L43">
        <v>190.4</v>
      </c>
      <c r="M43">
        <v>192.77</v>
      </c>
      <c r="N43">
        <v>194.13</v>
      </c>
      <c r="O43">
        <v>197.29</v>
      </c>
      <c r="P43">
        <v>199.21</v>
      </c>
      <c r="Q43">
        <v>200.68</v>
      </c>
      <c r="R43">
        <v>201.02</v>
      </c>
      <c r="S43">
        <v>201.7</v>
      </c>
      <c r="T43">
        <v>202.15</v>
      </c>
      <c r="U43">
        <v>201.92</v>
      </c>
      <c r="V43">
        <v>203.28</v>
      </c>
      <c r="W43">
        <v>203.61</v>
      </c>
    </row>
    <row r="44" spans="1:23" x14ac:dyDescent="0.35">
      <c r="A44" s="2" t="s">
        <v>42</v>
      </c>
      <c r="B44">
        <v>8.9</v>
      </c>
      <c r="C44">
        <v>8.8800000000000008</v>
      </c>
      <c r="D44">
        <v>9.02</v>
      </c>
      <c r="E44">
        <v>9.1300000000000008</v>
      </c>
      <c r="F44">
        <v>9.1999999999999993</v>
      </c>
      <c r="G44">
        <v>9.19</v>
      </c>
      <c r="H44">
        <v>9.09</v>
      </c>
      <c r="I44">
        <v>9.02</v>
      </c>
      <c r="J44">
        <v>9.0399999999999991</v>
      </c>
      <c r="K44">
        <v>9.07</v>
      </c>
      <c r="L44">
        <v>9.09</v>
      </c>
      <c r="M44">
        <v>9.18</v>
      </c>
      <c r="N44">
        <v>9.24</v>
      </c>
      <c r="O44">
        <v>9.25</v>
      </c>
      <c r="P44">
        <v>9.25</v>
      </c>
      <c r="Q44">
        <v>9.2799999999999994</v>
      </c>
      <c r="R44">
        <v>9.2799999999999994</v>
      </c>
      <c r="S44">
        <v>9.27</v>
      </c>
      <c r="T44">
        <v>9.2200000000000006</v>
      </c>
      <c r="U44">
        <v>9.24</v>
      </c>
      <c r="V44">
        <v>9.26</v>
      </c>
      <c r="W44">
        <v>9.31</v>
      </c>
    </row>
    <row r="45" spans="1:23" x14ac:dyDescent="0.35">
      <c r="A45" s="2" t="s">
        <v>790</v>
      </c>
      <c r="B45">
        <v>283.14</v>
      </c>
      <c r="C45">
        <v>284.10000000000002</v>
      </c>
      <c r="D45">
        <v>288.92</v>
      </c>
      <c r="E45">
        <v>291.42</v>
      </c>
      <c r="F45">
        <v>292</v>
      </c>
      <c r="G45">
        <v>293.73</v>
      </c>
      <c r="H45">
        <v>301.62</v>
      </c>
      <c r="I45">
        <v>310.86</v>
      </c>
      <c r="J45">
        <v>313.75</v>
      </c>
      <c r="K45">
        <v>317.79000000000002</v>
      </c>
      <c r="L45">
        <v>319.70999999999998</v>
      </c>
      <c r="M45">
        <v>323.95</v>
      </c>
      <c r="N45">
        <v>329.15</v>
      </c>
      <c r="O45">
        <v>324.91000000000003</v>
      </c>
      <c r="P45">
        <v>324.33</v>
      </c>
      <c r="Q45">
        <v>321.06</v>
      </c>
      <c r="R45">
        <v>320.87</v>
      </c>
      <c r="S45">
        <v>324.72000000000003</v>
      </c>
      <c r="T45">
        <v>328.57</v>
      </c>
      <c r="U45">
        <v>335.11</v>
      </c>
      <c r="V45">
        <v>339.92</v>
      </c>
      <c r="W45">
        <v>343</v>
      </c>
    </row>
    <row r="46" spans="1:23" x14ac:dyDescent="0.35">
      <c r="A46" s="2" t="s">
        <v>43</v>
      </c>
      <c r="B46">
        <v>31.21</v>
      </c>
      <c r="C46">
        <v>31.33</v>
      </c>
      <c r="D46">
        <v>32.340000000000003</v>
      </c>
      <c r="E46">
        <v>32.880000000000003</v>
      </c>
      <c r="F46">
        <v>33.06</v>
      </c>
      <c r="G46">
        <v>32.86</v>
      </c>
      <c r="H46">
        <v>34.01</v>
      </c>
      <c r="I46">
        <v>35.94</v>
      </c>
      <c r="J46">
        <v>36.36</v>
      </c>
      <c r="K46">
        <v>36.729999999999997</v>
      </c>
      <c r="L46">
        <v>37.97</v>
      </c>
      <c r="M46">
        <v>38.58</v>
      </c>
      <c r="N46">
        <v>39.200000000000003</v>
      </c>
      <c r="O46">
        <v>38.22</v>
      </c>
      <c r="P46">
        <v>36.64</v>
      </c>
      <c r="Q46">
        <v>35.68</v>
      </c>
      <c r="R46">
        <v>35.479999999999997</v>
      </c>
      <c r="S46">
        <v>35.96</v>
      </c>
      <c r="T46">
        <v>36.28</v>
      </c>
      <c r="U46">
        <v>37.03</v>
      </c>
      <c r="V46">
        <v>37.53</v>
      </c>
      <c r="W46">
        <v>38.15</v>
      </c>
    </row>
    <row r="47" spans="1:23" x14ac:dyDescent="0.35">
      <c r="A47" s="2" t="s">
        <v>44</v>
      </c>
      <c r="B47">
        <v>1.68</v>
      </c>
      <c r="C47">
        <v>1.69</v>
      </c>
      <c r="D47">
        <v>1.65</v>
      </c>
      <c r="E47">
        <v>1.69</v>
      </c>
      <c r="F47">
        <v>1.64</v>
      </c>
      <c r="G47">
        <v>1.63</v>
      </c>
      <c r="H47">
        <v>1.71</v>
      </c>
      <c r="I47">
        <v>1.64</v>
      </c>
      <c r="J47">
        <v>1.67</v>
      </c>
      <c r="K47">
        <v>1.69</v>
      </c>
      <c r="L47">
        <v>1.71</v>
      </c>
      <c r="M47">
        <v>1.72</v>
      </c>
      <c r="N47">
        <v>1.71</v>
      </c>
      <c r="O47">
        <v>1.71</v>
      </c>
      <c r="P47">
        <v>1.74</v>
      </c>
      <c r="Q47">
        <v>1.73</v>
      </c>
      <c r="R47">
        <v>1.73</v>
      </c>
      <c r="S47">
        <v>1.75</v>
      </c>
      <c r="T47">
        <v>1.72</v>
      </c>
      <c r="U47">
        <v>1.73</v>
      </c>
      <c r="V47">
        <v>1.77</v>
      </c>
      <c r="W47">
        <v>1.79</v>
      </c>
    </row>
    <row r="48" spans="1:23" x14ac:dyDescent="0.35">
      <c r="A48" s="2" t="s">
        <v>45</v>
      </c>
      <c r="B48">
        <v>48.23</v>
      </c>
      <c r="C48">
        <v>48.92</v>
      </c>
      <c r="D48">
        <v>48.92</v>
      </c>
      <c r="E48">
        <v>49.81</v>
      </c>
      <c r="F48">
        <v>49.81</v>
      </c>
      <c r="G48">
        <v>49.81</v>
      </c>
      <c r="H48">
        <v>51.91</v>
      </c>
      <c r="I48">
        <v>51.83</v>
      </c>
      <c r="J48">
        <v>52.08</v>
      </c>
      <c r="K48">
        <v>53.13</v>
      </c>
      <c r="L48">
        <v>53.13</v>
      </c>
      <c r="M48">
        <v>54.63</v>
      </c>
      <c r="N48">
        <v>57.1</v>
      </c>
      <c r="O48">
        <v>57.1</v>
      </c>
      <c r="P48">
        <v>56.85</v>
      </c>
      <c r="Q48">
        <v>57.3</v>
      </c>
      <c r="R48">
        <v>57.54</v>
      </c>
      <c r="S48">
        <v>57.58</v>
      </c>
      <c r="T48">
        <v>57.38</v>
      </c>
      <c r="U48">
        <v>57.54</v>
      </c>
      <c r="V48">
        <v>59.93</v>
      </c>
      <c r="W48">
        <v>59.77</v>
      </c>
    </row>
    <row r="49" spans="1:23" x14ac:dyDescent="0.35">
      <c r="A49" s="2" t="s">
        <v>46</v>
      </c>
      <c r="B49">
        <v>21.62</v>
      </c>
      <c r="C49">
        <v>21.6</v>
      </c>
      <c r="D49">
        <v>21.85</v>
      </c>
      <c r="E49">
        <v>22.24</v>
      </c>
      <c r="F49">
        <v>22.36</v>
      </c>
      <c r="G49">
        <v>23.02</v>
      </c>
      <c r="H49">
        <v>23.64</v>
      </c>
      <c r="I49">
        <v>23.78</v>
      </c>
      <c r="J49">
        <v>23.94</v>
      </c>
      <c r="K49">
        <v>23.78</v>
      </c>
      <c r="L49">
        <v>23.84</v>
      </c>
      <c r="M49">
        <v>24.15</v>
      </c>
      <c r="N49">
        <v>24.06</v>
      </c>
      <c r="O49">
        <v>24.12</v>
      </c>
      <c r="P49">
        <v>24.11</v>
      </c>
      <c r="Q49">
        <v>23.87</v>
      </c>
      <c r="R49">
        <v>23.64</v>
      </c>
      <c r="S49">
        <v>23.89</v>
      </c>
      <c r="T49">
        <v>23.83</v>
      </c>
      <c r="U49">
        <v>23.64</v>
      </c>
      <c r="V49">
        <v>23.8</v>
      </c>
      <c r="W49">
        <v>23.72</v>
      </c>
    </row>
    <row r="50" spans="1:23" x14ac:dyDescent="0.35">
      <c r="A50" s="2" t="s">
        <v>47</v>
      </c>
      <c r="B50">
        <v>3.61</v>
      </c>
      <c r="C50">
        <v>3.64</v>
      </c>
      <c r="D50">
        <v>3.71</v>
      </c>
      <c r="E50">
        <v>3.84</v>
      </c>
      <c r="F50">
        <v>3.92</v>
      </c>
      <c r="G50">
        <v>3.88</v>
      </c>
      <c r="H50">
        <v>3.92</v>
      </c>
      <c r="I50">
        <v>3.91</v>
      </c>
      <c r="J50">
        <v>3.93</v>
      </c>
      <c r="K50">
        <v>3.89</v>
      </c>
      <c r="L50">
        <v>3.94</v>
      </c>
      <c r="M50">
        <v>3.88</v>
      </c>
      <c r="N50">
        <v>3.83</v>
      </c>
      <c r="O50">
        <v>3.9</v>
      </c>
      <c r="P50">
        <v>3.97</v>
      </c>
      <c r="Q50">
        <v>3.95</v>
      </c>
      <c r="R50">
        <v>4.01</v>
      </c>
      <c r="S50">
        <v>3.98</v>
      </c>
      <c r="T50">
        <v>3.98</v>
      </c>
      <c r="U50">
        <v>4.0199999999999996</v>
      </c>
      <c r="V50">
        <v>3.95</v>
      </c>
      <c r="W50">
        <v>3.93</v>
      </c>
    </row>
    <row r="51" spans="1:23" x14ac:dyDescent="0.35">
      <c r="A51" s="2" t="s">
        <v>791</v>
      </c>
      <c r="B51">
        <v>22.92</v>
      </c>
      <c r="C51">
        <v>23.09</v>
      </c>
      <c r="D51">
        <v>23.21</v>
      </c>
      <c r="E51">
        <v>23.21</v>
      </c>
      <c r="F51">
        <v>23.18</v>
      </c>
      <c r="G51">
        <v>23.04</v>
      </c>
      <c r="H51">
        <v>23.2</v>
      </c>
      <c r="I51">
        <v>23.2</v>
      </c>
      <c r="J51">
        <v>23.49</v>
      </c>
      <c r="K51">
        <v>23.37</v>
      </c>
      <c r="L51">
        <v>23.54</v>
      </c>
      <c r="M51">
        <v>23.96</v>
      </c>
      <c r="N51">
        <v>23.71</v>
      </c>
      <c r="O51">
        <v>23.82</v>
      </c>
      <c r="P51">
        <v>23.66</v>
      </c>
      <c r="Q51">
        <v>23.7</v>
      </c>
      <c r="R51">
        <v>23.84</v>
      </c>
      <c r="S51">
        <v>23.97</v>
      </c>
      <c r="T51">
        <v>23.89</v>
      </c>
      <c r="U51">
        <v>23.8</v>
      </c>
      <c r="V51">
        <v>23.87</v>
      </c>
      <c r="W51">
        <v>23.94</v>
      </c>
    </row>
    <row r="52" spans="1:23" x14ac:dyDescent="0.35">
      <c r="A52" s="2" t="s">
        <v>48</v>
      </c>
      <c r="B52">
        <v>12.95</v>
      </c>
      <c r="C52">
        <v>13.13</v>
      </c>
      <c r="D52">
        <v>13.18</v>
      </c>
      <c r="E52">
        <v>13.19</v>
      </c>
      <c r="F52">
        <v>13.23</v>
      </c>
      <c r="G52">
        <v>13.06</v>
      </c>
      <c r="H52">
        <v>13.15</v>
      </c>
      <c r="I52">
        <v>13.2</v>
      </c>
      <c r="J52">
        <v>13.32</v>
      </c>
      <c r="K52">
        <v>13.29</v>
      </c>
      <c r="L52">
        <v>13.36</v>
      </c>
      <c r="M52">
        <v>13.66</v>
      </c>
      <c r="N52">
        <v>13.45</v>
      </c>
      <c r="O52">
        <v>13.62</v>
      </c>
      <c r="P52">
        <v>13.51</v>
      </c>
      <c r="Q52">
        <v>13.52</v>
      </c>
      <c r="R52">
        <v>13.59</v>
      </c>
      <c r="S52">
        <v>13.79</v>
      </c>
      <c r="T52">
        <v>13.71</v>
      </c>
      <c r="U52">
        <v>13.75</v>
      </c>
      <c r="V52">
        <v>13.77</v>
      </c>
      <c r="W52">
        <v>13.89</v>
      </c>
    </row>
    <row r="53" spans="1:23" x14ac:dyDescent="0.35">
      <c r="A53" s="2" t="s">
        <v>49</v>
      </c>
      <c r="B53">
        <v>24.89</v>
      </c>
      <c r="C53">
        <v>24.8</v>
      </c>
      <c r="D53">
        <v>25.05</v>
      </c>
      <c r="E53">
        <v>25.56</v>
      </c>
      <c r="F53">
        <v>25.83</v>
      </c>
      <c r="G53">
        <v>25.63</v>
      </c>
      <c r="H53">
        <v>26.08</v>
      </c>
      <c r="I53">
        <v>26.74</v>
      </c>
      <c r="J53">
        <v>26.71</v>
      </c>
      <c r="K53">
        <v>26.97</v>
      </c>
      <c r="L53">
        <v>27.47</v>
      </c>
      <c r="M53">
        <v>27.44</v>
      </c>
      <c r="N53">
        <v>27.4</v>
      </c>
      <c r="O53">
        <v>26.89</v>
      </c>
      <c r="P53">
        <v>27.65</v>
      </c>
      <c r="Q53">
        <v>27.37</v>
      </c>
      <c r="R53">
        <v>27.94</v>
      </c>
      <c r="S53">
        <v>28.57</v>
      </c>
      <c r="T53">
        <v>28.75</v>
      </c>
      <c r="U53">
        <v>28.84</v>
      </c>
      <c r="V53">
        <v>29.57</v>
      </c>
      <c r="W53">
        <v>29.09</v>
      </c>
    </row>
    <row r="54" spans="1:23" x14ac:dyDescent="0.35">
      <c r="A54" s="2" t="s">
        <v>792</v>
      </c>
      <c r="B54">
        <v>3.18</v>
      </c>
      <c r="C54">
        <v>3.21</v>
      </c>
      <c r="D54">
        <v>3.22</v>
      </c>
      <c r="E54">
        <v>3.31</v>
      </c>
      <c r="F54">
        <v>3.27</v>
      </c>
      <c r="G54">
        <v>3.27</v>
      </c>
      <c r="H54">
        <v>3.28</v>
      </c>
      <c r="I54">
        <v>3.23</v>
      </c>
      <c r="J54">
        <v>3.27</v>
      </c>
      <c r="K54">
        <v>3.31</v>
      </c>
      <c r="L54">
        <v>3.25</v>
      </c>
      <c r="M54">
        <v>3.27</v>
      </c>
      <c r="N54">
        <v>3.27</v>
      </c>
      <c r="O54">
        <v>3.28</v>
      </c>
      <c r="P54">
        <v>3.29</v>
      </c>
      <c r="Q54">
        <v>3.3</v>
      </c>
      <c r="R54">
        <v>3.33</v>
      </c>
      <c r="S54">
        <v>3.36</v>
      </c>
      <c r="T54">
        <v>3.4</v>
      </c>
      <c r="U54">
        <v>3.39</v>
      </c>
      <c r="V54">
        <v>3.4</v>
      </c>
      <c r="W54">
        <v>3.45</v>
      </c>
    </row>
    <row r="55" spans="1:23" x14ac:dyDescent="0.35">
      <c r="A55" s="2" t="s">
        <v>793</v>
      </c>
      <c r="B55">
        <v>65.58</v>
      </c>
      <c r="C55">
        <v>67.02</v>
      </c>
      <c r="D55">
        <v>69.09</v>
      </c>
      <c r="E55">
        <v>70.180000000000007</v>
      </c>
      <c r="F55">
        <v>67.98</v>
      </c>
      <c r="G55">
        <v>67.75</v>
      </c>
      <c r="H55">
        <v>67.94</v>
      </c>
      <c r="I55">
        <v>69.819999999999993</v>
      </c>
      <c r="J55">
        <v>68.069999999999993</v>
      </c>
      <c r="K55">
        <v>67.81</v>
      </c>
      <c r="L55">
        <v>69.650000000000006</v>
      </c>
      <c r="M55">
        <v>68.67</v>
      </c>
      <c r="N55">
        <v>68.83</v>
      </c>
      <c r="O55">
        <v>68.239999999999995</v>
      </c>
      <c r="P55">
        <v>67.94</v>
      </c>
      <c r="Q55">
        <v>68.209999999999994</v>
      </c>
      <c r="R55">
        <v>67.09</v>
      </c>
      <c r="S55">
        <v>67.680000000000007</v>
      </c>
      <c r="T55">
        <v>68.400000000000006</v>
      </c>
      <c r="U55">
        <v>69.52</v>
      </c>
      <c r="V55">
        <v>69.650000000000006</v>
      </c>
      <c r="W55">
        <v>69.489999999999995</v>
      </c>
    </row>
    <row r="56" spans="1:23" x14ac:dyDescent="0.35">
      <c r="A56" s="2" t="s">
        <v>50</v>
      </c>
      <c r="B56">
        <v>1.72</v>
      </c>
      <c r="C56">
        <v>1.73</v>
      </c>
      <c r="D56">
        <v>1.73</v>
      </c>
      <c r="E56">
        <v>1.77</v>
      </c>
      <c r="F56">
        <v>1.74</v>
      </c>
      <c r="G56">
        <v>1.71</v>
      </c>
      <c r="H56">
        <v>1.69</v>
      </c>
      <c r="I56">
        <v>1.68</v>
      </c>
      <c r="J56">
        <v>1.6</v>
      </c>
      <c r="K56">
        <v>1.53</v>
      </c>
      <c r="L56">
        <v>1.53</v>
      </c>
      <c r="M56">
        <v>1.59</v>
      </c>
      <c r="N56">
        <v>1.55</v>
      </c>
      <c r="O56">
        <v>1.57</v>
      </c>
      <c r="P56">
        <v>1.56</v>
      </c>
      <c r="Q56">
        <v>1.56</v>
      </c>
      <c r="R56">
        <v>1.57</v>
      </c>
      <c r="S56">
        <v>1.55</v>
      </c>
      <c r="T56">
        <v>1.54</v>
      </c>
      <c r="U56">
        <v>1.54</v>
      </c>
      <c r="V56">
        <v>1.55</v>
      </c>
      <c r="W56">
        <v>1.53</v>
      </c>
    </row>
    <row r="57" spans="1:23" x14ac:dyDescent="0.35">
      <c r="A57" s="2" t="s">
        <v>794</v>
      </c>
      <c r="B57">
        <v>29.11</v>
      </c>
      <c r="C57">
        <v>29.31</v>
      </c>
      <c r="D57">
        <v>29.42</v>
      </c>
      <c r="E57">
        <v>29.5</v>
      </c>
      <c r="F57">
        <v>29.81</v>
      </c>
      <c r="G57">
        <v>29.9</v>
      </c>
      <c r="H57">
        <v>29.84</v>
      </c>
      <c r="I57">
        <v>29.77</v>
      </c>
      <c r="J57">
        <v>29.59</v>
      </c>
      <c r="K57">
        <v>29.84</v>
      </c>
      <c r="L57">
        <v>29.57</v>
      </c>
      <c r="M57">
        <v>29.55</v>
      </c>
      <c r="N57">
        <v>29.68</v>
      </c>
      <c r="O57">
        <v>29.7</v>
      </c>
      <c r="P57">
        <v>29.68</v>
      </c>
      <c r="Q57">
        <v>29.84</v>
      </c>
      <c r="R57">
        <v>29.7</v>
      </c>
      <c r="S57">
        <v>29.7</v>
      </c>
      <c r="T57">
        <v>29.81</v>
      </c>
      <c r="U57">
        <v>29.95</v>
      </c>
      <c r="V57">
        <v>29.86</v>
      </c>
      <c r="W57">
        <v>29.97</v>
      </c>
    </row>
    <row r="58" spans="1:23" x14ac:dyDescent="0.35">
      <c r="A58" s="2" t="s">
        <v>51</v>
      </c>
      <c r="B58">
        <v>8.01</v>
      </c>
      <c r="C58">
        <v>8.0500000000000007</v>
      </c>
      <c r="D58">
        <v>8.02</v>
      </c>
      <c r="E58">
        <v>7.98</v>
      </c>
      <c r="F58">
        <v>7.88</v>
      </c>
      <c r="G58">
        <v>8.06</v>
      </c>
      <c r="H58">
        <v>8.17</v>
      </c>
      <c r="I58">
        <v>8.19</v>
      </c>
      <c r="J58">
        <v>8.15</v>
      </c>
      <c r="K58">
        <v>8.26</v>
      </c>
      <c r="L58">
        <v>8.27</v>
      </c>
      <c r="M58">
        <v>8.32</v>
      </c>
      <c r="N58">
        <v>8.35</v>
      </c>
      <c r="O58">
        <v>8.39</v>
      </c>
      <c r="P58">
        <v>8.4</v>
      </c>
      <c r="Q58">
        <v>8.4600000000000009</v>
      </c>
      <c r="R58">
        <v>8.51</v>
      </c>
      <c r="S58">
        <v>8.56</v>
      </c>
      <c r="T58">
        <v>8.6199999999999992</v>
      </c>
      <c r="U58">
        <v>8.68</v>
      </c>
      <c r="V58">
        <v>8.66</v>
      </c>
      <c r="W58">
        <v>8.6999999999999993</v>
      </c>
    </row>
    <row r="59" spans="1:23" x14ac:dyDescent="0.35">
      <c r="A59" s="2" t="s">
        <v>52</v>
      </c>
      <c r="B59">
        <v>26.92</v>
      </c>
      <c r="C59">
        <v>26.92</v>
      </c>
      <c r="D59">
        <v>27.37</v>
      </c>
      <c r="E59">
        <v>27.4</v>
      </c>
      <c r="F59">
        <v>26.98</v>
      </c>
      <c r="G59">
        <v>27.04</v>
      </c>
      <c r="H59">
        <v>27.25</v>
      </c>
      <c r="I59">
        <v>27.12</v>
      </c>
      <c r="J59">
        <v>26.97</v>
      </c>
      <c r="K59">
        <v>26.76</v>
      </c>
      <c r="L59">
        <v>26.73</v>
      </c>
      <c r="M59">
        <v>27.2</v>
      </c>
      <c r="N59">
        <v>26.98</v>
      </c>
      <c r="O59">
        <v>27.34</v>
      </c>
      <c r="P59">
        <v>28.45</v>
      </c>
      <c r="Q59">
        <v>28.69</v>
      </c>
      <c r="R59">
        <v>28.79</v>
      </c>
      <c r="S59">
        <v>28.66</v>
      </c>
      <c r="T59">
        <v>28.4</v>
      </c>
      <c r="U59">
        <v>28.31</v>
      </c>
      <c r="V59">
        <v>28.54</v>
      </c>
      <c r="W59">
        <v>28.65</v>
      </c>
    </row>
    <row r="60" spans="1:23" x14ac:dyDescent="0.35">
      <c r="A60" s="2" t="s">
        <v>795</v>
      </c>
      <c r="B60">
        <v>678.84</v>
      </c>
      <c r="C60">
        <v>689.49</v>
      </c>
      <c r="D60">
        <v>696.76</v>
      </c>
      <c r="E60">
        <v>705.96</v>
      </c>
      <c r="F60">
        <v>719.03</v>
      </c>
      <c r="G60">
        <v>722.9</v>
      </c>
      <c r="H60">
        <v>713.22</v>
      </c>
      <c r="I60">
        <v>709.34</v>
      </c>
      <c r="J60">
        <v>699.66</v>
      </c>
      <c r="K60">
        <v>689.98</v>
      </c>
      <c r="L60">
        <v>674</v>
      </c>
      <c r="M60">
        <v>666.25</v>
      </c>
      <c r="N60">
        <v>663.83</v>
      </c>
      <c r="O60">
        <v>664.31</v>
      </c>
      <c r="P60">
        <v>662.38</v>
      </c>
      <c r="Q60">
        <v>664.31</v>
      </c>
      <c r="R60">
        <v>658.02</v>
      </c>
      <c r="S60">
        <v>652.69000000000005</v>
      </c>
      <c r="T60">
        <v>648.34</v>
      </c>
      <c r="U60">
        <v>649.29999999999995</v>
      </c>
      <c r="V60">
        <v>650.27</v>
      </c>
      <c r="W60">
        <v>652.21</v>
      </c>
    </row>
    <row r="61" spans="1:23" x14ac:dyDescent="0.35">
      <c r="A61" s="2" t="s">
        <v>53</v>
      </c>
      <c r="B61">
        <v>12.42</v>
      </c>
      <c r="C61">
        <v>12.7</v>
      </c>
      <c r="D61">
        <v>12.08</v>
      </c>
      <c r="E61">
        <v>12.41</v>
      </c>
      <c r="F61">
        <v>12.11</v>
      </c>
      <c r="G61">
        <v>11.66</v>
      </c>
      <c r="H61">
        <v>11.77</v>
      </c>
      <c r="I61">
        <v>11.87</v>
      </c>
      <c r="J61">
        <v>11.79</v>
      </c>
      <c r="K61">
        <v>11.76</v>
      </c>
      <c r="L61">
        <v>11.93</v>
      </c>
      <c r="M61">
        <v>12.03</v>
      </c>
      <c r="N61">
        <v>11.98</v>
      </c>
      <c r="O61">
        <v>12.01</v>
      </c>
      <c r="P61">
        <v>11.98</v>
      </c>
      <c r="Q61">
        <v>12.2</v>
      </c>
      <c r="R61">
        <v>12.21</v>
      </c>
      <c r="S61">
        <v>12.04</v>
      </c>
      <c r="T61">
        <v>12.16</v>
      </c>
      <c r="U61">
        <v>12.17</v>
      </c>
      <c r="V61">
        <v>12.23</v>
      </c>
      <c r="W61">
        <v>12.51</v>
      </c>
    </row>
    <row r="62" spans="1:23" x14ac:dyDescent="0.35">
      <c r="A62" s="2" t="s">
        <v>54</v>
      </c>
      <c r="B62">
        <v>5.4</v>
      </c>
      <c r="C62">
        <v>5.36</v>
      </c>
      <c r="D62">
        <v>5.41</v>
      </c>
      <c r="E62">
        <v>5.37</v>
      </c>
      <c r="F62">
        <v>5.42</v>
      </c>
      <c r="G62">
        <v>5.39</v>
      </c>
      <c r="H62">
        <v>5.43</v>
      </c>
      <c r="I62">
        <v>5.4</v>
      </c>
      <c r="J62">
        <v>5.45</v>
      </c>
      <c r="K62">
        <v>5.41</v>
      </c>
      <c r="L62">
        <v>5.46</v>
      </c>
      <c r="M62">
        <v>5.41</v>
      </c>
      <c r="N62">
        <v>5.47</v>
      </c>
      <c r="O62">
        <v>5.42</v>
      </c>
      <c r="P62">
        <v>5.48</v>
      </c>
      <c r="Q62">
        <v>5.51</v>
      </c>
      <c r="R62">
        <v>5.72</v>
      </c>
      <c r="S62">
        <v>5.7</v>
      </c>
      <c r="T62">
        <v>5.74</v>
      </c>
      <c r="U62">
        <v>5.71</v>
      </c>
      <c r="V62">
        <v>5.78</v>
      </c>
      <c r="W62">
        <v>5.76</v>
      </c>
    </row>
    <row r="63" spans="1:23" x14ac:dyDescent="0.35">
      <c r="A63" s="2" t="s">
        <v>55</v>
      </c>
      <c r="B63">
        <v>6.63</v>
      </c>
      <c r="C63">
        <v>6.83</v>
      </c>
      <c r="D63">
        <v>6.96</v>
      </c>
      <c r="E63">
        <v>7.04</v>
      </c>
      <c r="F63">
        <v>7.15</v>
      </c>
      <c r="G63">
        <v>7.15</v>
      </c>
      <c r="H63">
        <v>7.12</v>
      </c>
      <c r="I63">
        <v>7.11</v>
      </c>
      <c r="J63">
        <v>7.14</v>
      </c>
      <c r="K63">
        <v>7.12</v>
      </c>
      <c r="L63">
        <v>7</v>
      </c>
      <c r="M63">
        <v>6.92</v>
      </c>
      <c r="N63">
        <v>6.96</v>
      </c>
      <c r="O63">
        <v>6.95</v>
      </c>
      <c r="P63">
        <v>6.87</v>
      </c>
      <c r="Q63">
        <v>6.84</v>
      </c>
      <c r="R63">
        <v>6.81</v>
      </c>
      <c r="S63">
        <v>6.67</v>
      </c>
      <c r="T63">
        <v>6.68</v>
      </c>
      <c r="U63">
        <v>6.72</v>
      </c>
      <c r="V63">
        <v>6.81</v>
      </c>
      <c r="W63">
        <v>6.73</v>
      </c>
    </row>
    <row r="64" spans="1:23" x14ac:dyDescent="0.35">
      <c r="A64" s="2" t="s">
        <v>796</v>
      </c>
      <c r="B64">
        <v>41.07</v>
      </c>
      <c r="C64">
        <v>41.24</v>
      </c>
      <c r="D64">
        <v>42.69</v>
      </c>
      <c r="E64">
        <v>43.24</v>
      </c>
      <c r="F64">
        <v>43.96</v>
      </c>
      <c r="G64">
        <v>44.75</v>
      </c>
      <c r="H64">
        <v>44.95</v>
      </c>
      <c r="I64">
        <v>45.15</v>
      </c>
      <c r="J64">
        <v>44.92</v>
      </c>
      <c r="K64">
        <v>44.98</v>
      </c>
      <c r="L64">
        <v>44.69</v>
      </c>
      <c r="M64">
        <v>44.37</v>
      </c>
      <c r="N64">
        <v>44.17</v>
      </c>
      <c r="O64">
        <v>44.31</v>
      </c>
      <c r="P64">
        <v>44.63</v>
      </c>
      <c r="Q64">
        <v>44.66</v>
      </c>
      <c r="R64">
        <v>44.83</v>
      </c>
      <c r="S64">
        <v>45.27</v>
      </c>
      <c r="T64">
        <v>45.24</v>
      </c>
      <c r="U64">
        <v>45.38</v>
      </c>
      <c r="V64">
        <v>45.44</v>
      </c>
      <c r="W64">
        <v>45.38</v>
      </c>
    </row>
    <row r="65" spans="1:23" x14ac:dyDescent="0.35">
      <c r="A65" s="2" t="s">
        <v>56</v>
      </c>
      <c r="B65">
        <v>7.99</v>
      </c>
      <c r="C65">
        <v>8.09</v>
      </c>
      <c r="D65">
        <v>8.11</v>
      </c>
      <c r="E65">
        <v>8.2200000000000006</v>
      </c>
      <c r="F65">
        <v>8.24</v>
      </c>
      <c r="G65">
        <v>8.24</v>
      </c>
      <c r="H65">
        <v>8.35</v>
      </c>
      <c r="I65">
        <v>8.4499999999999993</v>
      </c>
      <c r="J65">
        <v>8.4700000000000006</v>
      </c>
      <c r="K65">
        <v>8.5</v>
      </c>
      <c r="L65">
        <v>8.51</v>
      </c>
      <c r="M65">
        <v>8.5</v>
      </c>
      <c r="N65">
        <v>8.49</v>
      </c>
      <c r="O65">
        <v>8.5399999999999991</v>
      </c>
      <c r="P65">
        <v>8.6300000000000008</v>
      </c>
      <c r="Q65">
        <v>8.77</v>
      </c>
      <c r="R65">
        <v>8.77</v>
      </c>
      <c r="S65">
        <v>8.7899999999999991</v>
      </c>
      <c r="T65">
        <v>8.81</v>
      </c>
      <c r="U65">
        <v>8.85</v>
      </c>
      <c r="V65">
        <v>8.9</v>
      </c>
      <c r="W65">
        <v>8.86</v>
      </c>
    </row>
    <row r="66" spans="1:23" x14ac:dyDescent="0.35">
      <c r="A66" s="2" t="s">
        <v>57</v>
      </c>
      <c r="B66">
        <v>7.05</v>
      </c>
      <c r="C66">
        <v>6.96</v>
      </c>
      <c r="D66">
        <v>7.15</v>
      </c>
      <c r="E66">
        <v>7.3</v>
      </c>
      <c r="F66">
        <v>7.41</v>
      </c>
      <c r="G66">
        <v>7.44</v>
      </c>
      <c r="H66">
        <v>7.56</v>
      </c>
      <c r="I66">
        <v>7.49</v>
      </c>
      <c r="J66">
        <v>7.44</v>
      </c>
      <c r="K66">
        <v>7.52</v>
      </c>
      <c r="L66">
        <v>7.54</v>
      </c>
      <c r="M66">
        <v>7.5</v>
      </c>
      <c r="N66">
        <v>7.36</v>
      </c>
      <c r="O66">
        <v>7.54</v>
      </c>
      <c r="P66">
        <v>7.48</v>
      </c>
      <c r="Q66">
        <v>7.3</v>
      </c>
      <c r="R66">
        <v>7.4</v>
      </c>
      <c r="S66">
        <v>7.42</v>
      </c>
      <c r="T66">
        <v>7.18</v>
      </c>
      <c r="U66">
        <v>7.2</v>
      </c>
      <c r="V66">
        <v>7.15</v>
      </c>
      <c r="W66">
        <v>7.24</v>
      </c>
    </row>
    <row r="67" spans="1:23" x14ac:dyDescent="0.35">
      <c r="A67" s="2" t="s">
        <v>58</v>
      </c>
      <c r="B67">
        <v>14.48</v>
      </c>
      <c r="C67">
        <v>14.48</v>
      </c>
      <c r="D67">
        <v>15.08</v>
      </c>
      <c r="E67">
        <v>15.29</v>
      </c>
      <c r="F67">
        <v>15.57</v>
      </c>
      <c r="G67">
        <v>16</v>
      </c>
      <c r="H67">
        <v>15.72</v>
      </c>
      <c r="I67">
        <v>15.83</v>
      </c>
      <c r="J67">
        <v>15.85</v>
      </c>
      <c r="K67">
        <v>15.65</v>
      </c>
      <c r="L67">
        <v>15.41</v>
      </c>
      <c r="M67">
        <v>15.34</v>
      </c>
      <c r="N67">
        <v>15.37</v>
      </c>
      <c r="O67">
        <v>15.44</v>
      </c>
      <c r="P67">
        <v>15.63</v>
      </c>
      <c r="Q67">
        <v>15.51</v>
      </c>
      <c r="R67">
        <v>15.54</v>
      </c>
      <c r="S67">
        <v>15.66</v>
      </c>
      <c r="T67">
        <v>15.72</v>
      </c>
      <c r="U67">
        <v>15.69</v>
      </c>
      <c r="V67">
        <v>15.76</v>
      </c>
      <c r="W67">
        <v>15.6</v>
      </c>
    </row>
    <row r="68" spans="1:23" x14ac:dyDescent="0.35">
      <c r="A68" s="2" t="s">
        <v>59</v>
      </c>
      <c r="B68">
        <v>15.79</v>
      </c>
      <c r="C68">
        <v>15.5</v>
      </c>
      <c r="D68">
        <v>15.5</v>
      </c>
      <c r="E68">
        <v>15.91</v>
      </c>
      <c r="F68">
        <v>16.02</v>
      </c>
      <c r="G68">
        <v>16.03</v>
      </c>
      <c r="H68">
        <v>16.03</v>
      </c>
      <c r="I68">
        <v>16.5</v>
      </c>
      <c r="J68">
        <v>16.39</v>
      </c>
      <c r="K68">
        <v>16.22</v>
      </c>
      <c r="L68">
        <v>16.100000000000001</v>
      </c>
      <c r="M68">
        <v>16.350000000000001</v>
      </c>
      <c r="N68">
        <v>16.350000000000001</v>
      </c>
      <c r="O68">
        <v>16.489999999999998</v>
      </c>
      <c r="P68">
        <v>16.59</v>
      </c>
      <c r="Q68">
        <v>16.510000000000002</v>
      </c>
      <c r="R68">
        <v>16.489999999999998</v>
      </c>
      <c r="S68">
        <v>16.62</v>
      </c>
      <c r="T68">
        <v>16.809999999999999</v>
      </c>
      <c r="U68">
        <v>17</v>
      </c>
      <c r="V68">
        <v>16.88</v>
      </c>
      <c r="W68">
        <v>16.84</v>
      </c>
    </row>
    <row r="69" spans="1:23" x14ac:dyDescent="0.35">
      <c r="A69" s="2" t="s">
        <v>60</v>
      </c>
      <c r="B69">
        <v>4.63</v>
      </c>
      <c r="C69">
        <v>4.62</v>
      </c>
      <c r="D69">
        <v>4.6399999999999997</v>
      </c>
      <c r="E69">
        <v>4.68</v>
      </c>
      <c r="F69">
        <v>4.79</v>
      </c>
      <c r="G69">
        <v>4.8099999999999996</v>
      </c>
      <c r="H69">
        <v>4.7699999999999996</v>
      </c>
      <c r="I69">
        <v>4.74</v>
      </c>
      <c r="J69">
        <v>4.8099999999999996</v>
      </c>
      <c r="K69">
        <v>4.74</v>
      </c>
      <c r="L69">
        <v>4.74</v>
      </c>
      <c r="M69">
        <v>4.7300000000000004</v>
      </c>
      <c r="N69">
        <v>4.6900000000000004</v>
      </c>
      <c r="O69">
        <v>4.6900000000000004</v>
      </c>
      <c r="P69">
        <v>4.72</v>
      </c>
      <c r="Q69">
        <v>4.6900000000000004</v>
      </c>
      <c r="R69">
        <v>4.6900000000000004</v>
      </c>
      <c r="S69">
        <v>4.6500000000000004</v>
      </c>
      <c r="T69">
        <v>4.67</v>
      </c>
      <c r="U69">
        <v>4.67</v>
      </c>
      <c r="V69">
        <v>4.7</v>
      </c>
      <c r="W69">
        <v>4.6900000000000004</v>
      </c>
    </row>
    <row r="70" spans="1:23" x14ac:dyDescent="0.35">
      <c r="A70" s="2" t="s">
        <v>61</v>
      </c>
      <c r="B70">
        <v>13.72</v>
      </c>
      <c r="C70">
        <v>13.93</v>
      </c>
      <c r="D70">
        <v>13.64</v>
      </c>
      <c r="E70">
        <v>13.86</v>
      </c>
      <c r="F70">
        <v>13.89</v>
      </c>
      <c r="G70">
        <v>13.94</v>
      </c>
      <c r="H70">
        <v>13.99</v>
      </c>
      <c r="I70">
        <v>13.86</v>
      </c>
      <c r="J70">
        <v>13.93</v>
      </c>
      <c r="K70">
        <v>13.5</v>
      </c>
      <c r="L70">
        <v>13.62</v>
      </c>
      <c r="M70">
        <v>13.44</v>
      </c>
      <c r="N70">
        <v>13.28</v>
      </c>
      <c r="O70">
        <v>13.83</v>
      </c>
      <c r="P70">
        <v>13.45</v>
      </c>
      <c r="Q70">
        <v>13.93</v>
      </c>
      <c r="R70">
        <v>14.01</v>
      </c>
      <c r="S70">
        <v>14.47</v>
      </c>
      <c r="T70">
        <v>14.54</v>
      </c>
      <c r="U70">
        <v>14.4</v>
      </c>
      <c r="V70">
        <v>13.8</v>
      </c>
      <c r="W70">
        <v>13.84</v>
      </c>
    </row>
    <row r="71" spans="1:23" x14ac:dyDescent="0.35">
      <c r="A71" s="2" t="s">
        <v>62</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row>
    <row r="72" spans="1:23" x14ac:dyDescent="0.35">
      <c r="A72" s="2" t="s">
        <v>797</v>
      </c>
      <c r="B72">
        <v>102.35</v>
      </c>
      <c r="C72">
        <v>103.08</v>
      </c>
      <c r="D72">
        <v>104.16</v>
      </c>
      <c r="E72">
        <v>105.31</v>
      </c>
      <c r="F72">
        <v>102.21</v>
      </c>
      <c r="G72">
        <v>102.43</v>
      </c>
      <c r="H72">
        <v>103.29</v>
      </c>
      <c r="I72">
        <v>103.94</v>
      </c>
      <c r="J72">
        <v>103.44</v>
      </c>
      <c r="K72">
        <v>103.08</v>
      </c>
      <c r="L72">
        <v>103.15</v>
      </c>
      <c r="M72">
        <v>103.22</v>
      </c>
      <c r="N72">
        <v>103.22</v>
      </c>
      <c r="O72">
        <v>102.86</v>
      </c>
      <c r="P72">
        <v>103.15</v>
      </c>
      <c r="Q72">
        <v>103.8</v>
      </c>
      <c r="R72">
        <v>104.59</v>
      </c>
      <c r="S72">
        <v>104.74</v>
      </c>
      <c r="T72">
        <v>104.16</v>
      </c>
      <c r="U72">
        <v>104.52</v>
      </c>
      <c r="V72">
        <v>105.67</v>
      </c>
      <c r="W72">
        <v>106.11</v>
      </c>
    </row>
    <row r="73" spans="1:23" x14ac:dyDescent="0.35">
      <c r="A73" s="2" t="s">
        <v>63</v>
      </c>
      <c r="B73">
        <v>13.22</v>
      </c>
      <c r="C73">
        <v>13.37</v>
      </c>
      <c r="D73">
        <v>13.55</v>
      </c>
      <c r="E73">
        <v>13.78</v>
      </c>
      <c r="F73">
        <v>13.94</v>
      </c>
      <c r="G73">
        <v>13.83</v>
      </c>
      <c r="H73">
        <v>14.03</v>
      </c>
      <c r="I73">
        <v>13.99</v>
      </c>
      <c r="J73">
        <v>13.74</v>
      </c>
      <c r="K73">
        <v>13.74</v>
      </c>
      <c r="L73">
        <v>13.7</v>
      </c>
      <c r="M73">
        <v>13.65</v>
      </c>
      <c r="N73">
        <v>13.71</v>
      </c>
      <c r="O73">
        <v>13.68</v>
      </c>
      <c r="P73">
        <v>13.6</v>
      </c>
      <c r="Q73">
        <v>13.75</v>
      </c>
      <c r="R73">
        <v>13.76</v>
      </c>
      <c r="S73">
        <v>13.99</v>
      </c>
      <c r="T73">
        <v>13.87</v>
      </c>
      <c r="U73">
        <v>13.93</v>
      </c>
      <c r="V73">
        <v>13.87</v>
      </c>
      <c r="W73">
        <v>13.9</v>
      </c>
    </row>
    <row r="74" spans="1:23" x14ac:dyDescent="0.35">
      <c r="A74" s="2" t="s">
        <v>798</v>
      </c>
      <c r="B74">
        <v>70.19</v>
      </c>
      <c r="C74">
        <v>70.73</v>
      </c>
      <c r="D74">
        <v>73.58</v>
      </c>
      <c r="E74">
        <v>75.900000000000006</v>
      </c>
      <c r="F74">
        <v>76.39</v>
      </c>
      <c r="G74">
        <v>77.06</v>
      </c>
      <c r="H74">
        <v>77.02</v>
      </c>
      <c r="I74">
        <v>77.98</v>
      </c>
      <c r="J74">
        <v>77.89</v>
      </c>
      <c r="K74">
        <v>77.06</v>
      </c>
      <c r="L74">
        <v>76.680000000000007</v>
      </c>
      <c r="M74">
        <v>75.849999999999994</v>
      </c>
      <c r="N74">
        <v>76.099999999999994</v>
      </c>
      <c r="O74">
        <v>76.05</v>
      </c>
      <c r="P74">
        <v>75.709999999999994</v>
      </c>
      <c r="Q74">
        <v>75.03</v>
      </c>
      <c r="R74">
        <v>74.599999999999994</v>
      </c>
      <c r="S74">
        <v>72.86</v>
      </c>
      <c r="T74">
        <v>71.02</v>
      </c>
      <c r="U74">
        <v>71.02</v>
      </c>
      <c r="V74">
        <v>70.489999999999995</v>
      </c>
      <c r="W74">
        <v>70.290000000000006</v>
      </c>
    </row>
    <row r="75" spans="1:23" x14ac:dyDescent="0.35">
      <c r="A75" s="2" t="s">
        <v>64</v>
      </c>
      <c r="B75">
        <v>26.22</v>
      </c>
      <c r="C75">
        <v>26.69</v>
      </c>
      <c r="D75">
        <v>27.75</v>
      </c>
      <c r="E75">
        <v>28.32</v>
      </c>
      <c r="F75">
        <v>30.02</v>
      </c>
      <c r="G75">
        <v>31.17</v>
      </c>
      <c r="H75">
        <v>31.68</v>
      </c>
      <c r="I75">
        <v>32.46</v>
      </c>
      <c r="J75">
        <v>32.5</v>
      </c>
      <c r="K75">
        <v>32.200000000000003</v>
      </c>
      <c r="L75">
        <v>32.200000000000003</v>
      </c>
      <c r="M75">
        <v>32.119999999999997</v>
      </c>
      <c r="N75">
        <v>32.33</v>
      </c>
      <c r="O75">
        <v>32.119999999999997</v>
      </c>
      <c r="P75">
        <v>32.29</v>
      </c>
      <c r="Q75">
        <v>31.93</v>
      </c>
      <c r="R75">
        <v>32.03</v>
      </c>
      <c r="S75">
        <v>31.17</v>
      </c>
      <c r="T75">
        <v>30.06</v>
      </c>
      <c r="U75">
        <v>29.96</v>
      </c>
      <c r="V75">
        <v>29.58</v>
      </c>
      <c r="W75">
        <v>29.41</v>
      </c>
    </row>
    <row r="76" spans="1:23" x14ac:dyDescent="0.35">
      <c r="A76" s="2" t="s">
        <v>65</v>
      </c>
      <c r="B76">
        <v>3.82</v>
      </c>
      <c r="C76">
        <v>3.88</v>
      </c>
      <c r="D76">
        <v>3.99</v>
      </c>
      <c r="E76">
        <v>3.94</v>
      </c>
      <c r="F76">
        <v>3.87</v>
      </c>
      <c r="G76">
        <v>3.86</v>
      </c>
      <c r="H76">
        <v>3.83</v>
      </c>
      <c r="I76">
        <v>3.83</v>
      </c>
      <c r="J76">
        <v>3.8</v>
      </c>
      <c r="K76">
        <v>3.84</v>
      </c>
      <c r="L76">
        <v>3.83</v>
      </c>
      <c r="M76">
        <v>3.83</v>
      </c>
      <c r="N76">
        <v>3.79</v>
      </c>
      <c r="O76">
        <v>3.8</v>
      </c>
      <c r="P76">
        <v>3.8</v>
      </c>
      <c r="Q76">
        <v>3.8</v>
      </c>
      <c r="R76">
        <v>3.76</v>
      </c>
      <c r="S76">
        <v>3.72</v>
      </c>
      <c r="T76">
        <v>3.69</v>
      </c>
      <c r="U76">
        <v>3.65</v>
      </c>
      <c r="V76">
        <v>3.67</v>
      </c>
      <c r="W76">
        <v>3.62</v>
      </c>
    </row>
    <row r="77" spans="1:23" x14ac:dyDescent="0.35">
      <c r="A77" s="2" t="s">
        <v>66</v>
      </c>
      <c r="B77">
        <v>3.44</v>
      </c>
      <c r="C77">
        <v>3.52</v>
      </c>
      <c r="D77">
        <v>3.52</v>
      </c>
      <c r="E77">
        <v>3.59</v>
      </c>
      <c r="F77">
        <v>3.65</v>
      </c>
      <c r="G77">
        <v>3.74</v>
      </c>
      <c r="H77">
        <v>3.69</v>
      </c>
      <c r="I77">
        <v>3.65</v>
      </c>
      <c r="J77">
        <v>3.6</v>
      </c>
      <c r="K77">
        <v>3.63</v>
      </c>
      <c r="L77">
        <v>3.7</v>
      </c>
      <c r="M77">
        <v>3.77</v>
      </c>
      <c r="N77">
        <v>3.78</v>
      </c>
      <c r="O77">
        <v>3.81</v>
      </c>
      <c r="P77">
        <v>3.7</v>
      </c>
      <c r="Q77">
        <v>3.67</v>
      </c>
      <c r="R77">
        <v>3.66</v>
      </c>
      <c r="S77">
        <v>3.69</v>
      </c>
      <c r="T77">
        <v>3.66</v>
      </c>
      <c r="U77">
        <v>3.65</v>
      </c>
      <c r="V77">
        <v>3.67</v>
      </c>
      <c r="W77">
        <v>3.66</v>
      </c>
    </row>
    <row r="78" spans="1:23" x14ac:dyDescent="0.35">
      <c r="A78" s="2" t="s">
        <v>67</v>
      </c>
      <c r="B78">
        <v>48.3</v>
      </c>
      <c r="C78">
        <v>47.1</v>
      </c>
      <c r="D78">
        <v>48.2</v>
      </c>
      <c r="E78">
        <v>50.48</v>
      </c>
      <c r="F78">
        <v>49.64</v>
      </c>
      <c r="G78">
        <v>49.35</v>
      </c>
      <c r="H78">
        <v>49.11</v>
      </c>
      <c r="I78">
        <v>49.13</v>
      </c>
      <c r="J78">
        <v>49.13</v>
      </c>
      <c r="K78">
        <v>50.77</v>
      </c>
      <c r="L78">
        <v>50.5</v>
      </c>
      <c r="M78">
        <v>51.31</v>
      </c>
      <c r="N78">
        <v>52.67</v>
      </c>
      <c r="O78">
        <v>52.65</v>
      </c>
      <c r="P78">
        <v>52.33</v>
      </c>
      <c r="Q78">
        <v>51.63</v>
      </c>
      <c r="R78">
        <v>51.66</v>
      </c>
      <c r="S78">
        <v>52.03</v>
      </c>
      <c r="T78">
        <v>52.7</v>
      </c>
      <c r="U78">
        <v>53.37</v>
      </c>
      <c r="V78">
        <v>52.94</v>
      </c>
      <c r="W78">
        <v>53.37</v>
      </c>
    </row>
    <row r="79" spans="1:23" x14ac:dyDescent="0.35">
      <c r="A79" s="2" t="s">
        <v>68</v>
      </c>
      <c r="B79">
        <v>32.49</v>
      </c>
      <c r="C79">
        <v>32.43</v>
      </c>
      <c r="D79">
        <v>32.200000000000003</v>
      </c>
      <c r="E79">
        <v>32.76</v>
      </c>
      <c r="F79">
        <v>33.5</v>
      </c>
      <c r="G79">
        <v>33.659999999999997</v>
      </c>
      <c r="H79">
        <v>33.39</v>
      </c>
      <c r="I79">
        <v>33</v>
      </c>
      <c r="J79">
        <v>32.89</v>
      </c>
      <c r="K79">
        <v>33.020000000000003</v>
      </c>
      <c r="L79">
        <v>32.619999999999997</v>
      </c>
      <c r="M79">
        <v>32.229999999999997</v>
      </c>
      <c r="N79">
        <v>31.92</v>
      </c>
      <c r="O79">
        <v>31.41</v>
      </c>
      <c r="P79">
        <v>31.54</v>
      </c>
      <c r="Q79">
        <v>31.39</v>
      </c>
      <c r="R79">
        <v>31.24</v>
      </c>
      <c r="S79">
        <v>31.06</v>
      </c>
      <c r="T79">
        <v>30.86</v>
      </c>
      <c r="U79">
        <v>30.53</v>
      </c>
      <c r="V79">
        <v>30.53</v>
      </c>
      <c r="W79">
        <v>30.4</v>
      </c>
    </row>
    <row r="80" spans="1:23" x14ac:dyDescent="0.35">
      <c r="A80" s="2" t="s">
        <v>69</v>
      </c>
      <c r="B80">
        <v>4.16</v>
      </c>
      <c r="C80">
        <v>4.17</v>
      </c>
      <c r="D80">
        <v>4.32</v>
      </c>
      <c r="E80">
        <v>4.32</v>
      </c>
      <c r="F80">
        <v>4.45</v>
      </c>
      <c r="G80">
        <v>4.53</v>
      </c>
      <c r="H80">
        <v>4.51</v>
      </c>
      <c r="I80">
        <v>4.5</v>
      </c>
      <c r="J80">
        <v>4.45</v>
      </c>
      <c r="K80">
        <v>4.51</v>
      </c>
      <c r="L80">
        <v>4.5199999999999996</v>
      </c>
      <c r="M80">
        <v>4.6399999999999997</v>
      </c>
      <c r="N80">
        <v>4.49</v>
      </c>
      <c r="O80">
        <v>4.4000000000000004</v>
      </c>
      <c r="P80">
        <v>4.2699999999999996</v>
      </c>
      <c r="Q80">
        <v>4.3</v>
      </c>
      <c r="R80">
        <v>4.2699999999999996</v>
      </c>
      <c r="S80">
        <v>4.21</v>
      </c>
      <c r="T80">
        <v>4.21</v>
      </c>
      <c r="U80">
        <v>4.16</v>
      </c>
      <c r="V80">
        <v>4.16</v>
      </c>
      <c r="W80">
        <v>4.08</v>
      </c>
    </row>
    <row r="81" spans="1:23" x14ac:dyDescent="0.35">
      <c r="A81" s="2" t="s">
        <v>70</v>
      </c>
      <c r="B81">
        <v>13.57</v>
      </c>
      <c r="C81">
        <v>13.61</v>
      </c>
      <c r="D81">
        <v>14.09</v>
      </c>
      <c r="E81">
        <v>15.23</v>
      </c>
      <c r="F81">
        <v>15.48</v>
      </c>
      <c r="G81">
        <v>15.26</v>
      </c>
      <c r="H81">
        <v>14.88</v>
      </c>
      <c r="I81">
        <v>15.29</v>
      </c>
      <c r="J81">
        <v>15.64</v>
      </c>
      <c r="K81">
        <v>16.41</v>
      </c>
      <c r="L81">
        <v>16.190000000000001</v>
      </c>
      <c r="M81">
        <v>15.09</v>
      </c>
      <c r="N81">
        <v>14.22</v>
      </c>
      <c r="O81">
        <v>13.33</v>
      </c>
      <c r="P81">
        <v>12.81</v>
      </c>
      <c r="Q81">
        <v>11.9</v>
      </c>
      <c r="R81">
        <v>11.46</v>
      </c>
      <c r="S81">
        <v>10.93</v>
      </c>
      <c r="T81">
        <v>10.67</v>
      </c>
      <c r="U81">
        <v>10.33</v>
      </c>
      <c r="V81">
        <v>10.24</v>
      </c>
      <c r="W81">
        <v>10.64</v>
      </c>
    </row>
    <row r="82" spans="1:23" x14ac:dyDescent="0.35">
      <c r="A82" s="2" t="s">
        <v>71</v>
      </c>
      <c r="B82">
        <v>4.67</v>
      </c>
      <c r="C82">
        <v>4.58</v>
      </c>
      <c r="D82">
        <v>4.68</v>
      </c>
      <c r="E82">
        <v>4.6500000000000004</v>
      </c>
      <c r="F82">
        <v>4.58</v>
      </c>
      <c r="G82">
        <v>4.53</v>
      </c>
      <c r="H82">
        <v>4.32</v>
      </c>
      <c r="I82">
        <v>4.08</v>
      </c>
      <c r="J82">
        <v>4.07</v>
      </c>
      <c r="K82">
        <v>4.08</v>
      </c>
      <c r="L82">
        <v>3.9</v>
      </c>
      <c r="M82">
        <v>4.04</v>
      </c>
      <c r="N82">
        <v>4.07</v>
      </c>
      <c r="O82">
        <v>4.26</v>
      </c>
      <c r="P82">
        <v>4.2300000000000004</v>
      </c>
      <c r="Q82">
        <v>4</v>
      </c>
      <c r="R82">
        <v>3.98</v>
      </c>
      <c r="S82">
        <v>3.83</v>
      </c>
      <c r="T82">
        <v>3.73</v>
      </c>
      <c r="U82">
        <v>3.88</v>
      </c>
      <c r="V82">
        <v>3.92</v>
      </c>
      <c r="W82">
        <v>3.97</v>
      </c>
    </row>
    <row r="83" spans="1:23" x14ac:dyDescent="0.35">
      <c r="A83" s="2" t="s">
        <v>72</v>
      </c>
      <c r="B83">
        <v>1.31</v>
      </c>
      <c r="C83">
        <v>1.3</v>
      </c>
      <c r="D83">
        <v>1.33</v>
      </c>
      <c r="E83">
        <v>1.35</v>
      </c>
      <c r="F83">
        <v>1.33</v>
      </c>
      <c r="G83">
        <v>1.35</v>
      </c>
      <c r="H83">
        <v>1.35</v>
      </c>
      <c r="I83">
        <v>1.33</v>
      </c>
      <c r="J83">
        <v>1.34</v>
      </c>
      <c r="K83">
        <v>1.41</v>
      </c>
      <c r="L83">
        <v>1.36</v>
      </c>
      <c r="M83">
        <v>1.42</v>
      </c>
      <c r="N83">
        <v>1.31</v>
      </c>
      <c r="O83">
        <v>1.34</v>
      </c>
      <c r="P83">
        <v>1.35</v>
      </c>
      <c r="Q83">
        <v>1.39</v>
      </c>
      <c r="R83">
        <v>1.36</v>
      </c>
      <c r="S83">
        <v>1.32</v>
      </c>
      <c r="T83">
        <v>1.24</v>
      </c>
      <c r="U83">
        <v>1.32</v>
      </c>
      <c r="V83">
        <v>1.31</v>
      </c>
      <c r="W83">
        <v>1.31</v>
      </c>
    </row>
    <row r="84" spans="1:23" x14ac:dyDescent="0.35">
      <c r="A84" s="2" t="s">
        <v>73</v>
      </c>
      <c r="B84">
        <v>8.61</v>
      </c>
      <c r="C84">
        <v>9.2200000000000006</v>
      </c>
      <c r="D84">
        <v>9.73</v>
      </c>
      <c r="E84">
        <v>9.3699999999999992</v>
      </c>
      <c r="F84">
        <v>10.19</v>
      </c>
      <c r="G84">
        <v>9.8800000000000008</v>
      </c>
      <c r="H84">
        <v>10.119999999999999</v>
      </c>
      <c r="I84">
        <v>9.7100000000000009</v>
      </c>
      <c r="J84">
        <v>9.2899999999999991</v>
      </c>
      <c r="K84">
        <v>9.5399999999999991</v>
      </c>
      <c r="L84">
        <v>9.1300000000000008</v>
      </c>
      <c r="M84">
        <v>9.76</v>
      </c>
      <c r="N84">
        <v>9.75</v>
      </c>
      <c r="O84">
        <v>8.98</v>
      </c>
      <c r="P84">
        <v>8.82</v>
      </c>
      <c r="Q84">
        <v>8.5500000000000007</v>
      </c>
      <c r="R84">
        <v>7.52</v>
      </c>
      <c r="S84">
        <v>7.69</v>
      </c>
      <c r="T84">
        <v>7.36</v>
      </c>
      <c r="U84">
        <v>7.2</v>
      </c>
      <c r="V84">
        <v>7.1</v>
      </c>
      <c r="W84">
        <v>7.16</v>
      </c>
    </row>
    <row r="85" spans="1:23" x14ac:dyDescent="0.35">
      <c r="A85" s="2" t="s">
        <v>74</v>
      </c>
      <c r="B85">
        <v>19.98</v>
      </c>
      <c r="C85">
        <v>20.54</v>
      </c>
      <c r="D85">
        <v>20.91</v>
      </c>
      <c r="E85">
        <v>21.64</v>
      </c>
      <c r="F85">
        <v>22.02</v>
      </c>
      <c r="G85">
        <v>21.54</v>
      </c>
      <c r="H85">
        <v>21.46</v>
      </c>
      <c r="I85">
        <v>20.329999999999998</v>
      </c>
      <c r="J85">
        <v>20.190000000000001</v>
      </c>
      <c r="K85">
        <v>20.13</v>
      </c>
      <c r="L85">
        <v>20.09</v>
      </c>
      <c r="M85">
        <v>19.91</v>
      </c>
      <c r="N85">
        <v>19.91</v>
      </c>
      <c r="O85">
        <v>20.05</v>
      </c>
      <c r="P85">
        <v>20.100000000000001</v>
      </c>
      <c r="Q85">
        <v>20.22</v>
      </c>
      <c r="R85">
        <v>20.079999999999998</v>
      </c>
      <c r="S85">
        <v>19.66</v>
      </c>
      <c r="T85">
        <v>19.09</v>
      </c>
      <c r="U85">
        <v>19.28</v>
      </c>
      <c r="V85">
        <v>20.02</v>
      </c>
      <c r="W85">
        <v>19.79</v>
      </c>
    </row>
    <row r="86" spans="1:23" x14ac:dyDescent="0.35">
      <c r="A86" s="2" t="s">
        <v>75</v>
      </c>
      <c r="B86">
        <v>1.86</v>
      </c>
      <c r="C86">
        <v>2.06</v>
      </c>
      <c r="D86">
        <v>2.2000000000000002</v>
      </c>
      <c r="E86">
        <v>2.4700000000000002</v>
      </c>
      <c r="F86">
        <v>2.2799999999999998</v>
      </c>
      <c r="G86">
        <v>2.23</v>
      </c>
      <c r="H86">
        <v>2.12</v>
      </c>
      <c r="I86">
        <v>1.98</v>
      </c>
      <c r="J86">
        <v>1.95</v>
      </c>
      <c r="K86">
        <v>2.06</v>
      </c>
      <c r="L86">
        <v>1.94</v>
      </c>
      <c r="M86">
        <v>1.83</v>
      </c>
      <c r="N86">
        <v>1.86</v>
      </c>
      <c r="O86">
        <v>2</v>
      </c>
      <c r="P86">
        <v>2.29</v>
      </c>
      <c r="Q86">
        <v>2.27</v>
      </c>
      <c r="R86">
        <v>2.2599999999999998</v>
      </c>
      <c r="S86">
        <v>2.0699999999999998</v>
      </c>
      <c r="T86">
        <v>1.98</v>
      </c>
      <c r="U86">
        <v>1.98</v>
      </c>
      <c r="V86">
        <v>2.0099999999999998</v>
      </c>
      <c r="W86">
        <v>2</v>
      </c>
    </row>
    <row r="87" spans="1:23" x14ac:dyDescent="0.35">
      <c r="A87" s="2" t="s">
        <v>76</v>
      </c>
      <c r="B87">
        <v>2.02</v>
      </c>
      <c r="C87">
        <v>2.08</v>
      </c>
      <c r="D87">
        <v>2.12</v>
      </c>
      <c r="E87">
        <v>2.31</v>
      </c>
      <c r="F87">
        <v>2.36</v>
      </c>
      <c r="G87">
        <v>2.4500000000000002</v>
      </c>
      <c r="H87">
        <v>2.4</v>
      </c>
      <c r="I87">
        <v>2.44</v>
      </c>
      <c r="J87">
        <v>2.4</v>
      </c>
      <c r="K87">
        <v>2.42</v>
      </c>
      <c r="L87">
        <v>2.42</v>
      </c>
      <c r="M87">
        <v>2.35</v>
      </c>
      <c r="N87">
        <v>2.35</v>
      </c>
      <c r="O87">
        <v>2.38</v>
      </c>
      <c r="P87">
        <v>2.38</v>
      </c>
      <c r="Q87">
        <v>2.2999999999999998</v>
      </c>
      <c r="R87">
        <v>2.2799999999999998</v>
      </c>
      <c r="S87">
        <v>2.16</v>
      </c>
      <c r="T87">
        <v>2.21</v>
      </c>
      <c r="U87">
        <v>2.0699999999999998</v>
      </c>
      <c r="V87">
        <v>2.0699999999999998</v>
      </c>
      <c r="W87">
        <v>2.06</v>
      </c>
    </row>
    <row r="88" spans="1:23" x14ac:dyDescent="0.35">
      <c r="A88" s="2" t="s">
        <v>77</v>
      </c>
      <c r="B88">
        <v>4.1399999999999997</v>
      </c>
      <c r="C88">
        <v>4.66</v>
      </c>
      <c r="D88">
        <v>4.79</v>
      </c>
      <c r="E88">
        <v>5.24</v>
      </c>
      <c r="F88">
        <v>5.16</v>
      </c>
      <c r="G88">
        <v>5.28</v>
      </c>
      <c r="H88">
        <v>5.0599999999999996</v>
      </c>
      <c r="I88">
        <v>4.9000000000000004</v>
      </c>
      <c r="J88">
        <v>4.91</v>
      </c>
      <c r="K88">
        <v>5</v>
      </c>
      <c r="L88">
        <v>5.15</v>
      </c>
      <c r="M88">
        <v>5.0999999999999996</v>
      </c>
      <c r="N88">
        <v>4.8600000000000003</v>
      </c>
      <c r="O88">
        <v>4.5599999999999996</v>
      </c>
      <c r="P88">
        <v>4.37</v>
      </c>
      <c r="Q88">
        <v>3.95</v>
      </c>
      <c r="R88">
        <v>3.69</v>
      </c>
      <c r="S88">
        <v>3.53</v>
      </c>
      <c r="T88">
        <v>3.46</v>
      </c>
      <c r="U88">
        <v>3.32</v>
      </c>
      <c r="V88">
        <v>3.33</v>
      </c>
      <c r="W88">
        <v>3.52</v>
      </c>
    </row>
    <row r="89" spans="1:23" x14ac:dyDescent="0.35">
      <c r="A89" s="2" t="s">
        <v>78</v>
      </c>
      <c r="B89">
        <v>51.4</v>
      </c>
      <c r="C89">
        <v>51.14</v>
      </c>
      <c r="D89">
        <v>51.7</v>
      </c>
      <c r="E89">
        <v>52.7</v>
      </c>
      <c r="F89">
        <v>53.22</v>
      </c>
      <c r="G89">
        <v>53.41</v>
      </c>
      <c r="H89">
        <v>53.67</v>
      </c>
      <c r="I89">
        <v>54.52</v>
      </c>
      <c r="J89">
        <v>54.67</v>
      </c>
      <c r="K89">
        <v>54.49</v>
      </c>
      <c r="L89">
        <v>54.82</v>
      </c>
      <c r="M89">
        <v>54.67</v>
      </c>
      <c r="N89">
        <v>54.97</v>
      </c>
      <c r="O89">
        <v>54.86</v>
      </c>
      <c r="P89">
        <v>55.01</v>
      </c>
      <c r="Q89">
        <v>54.82</v>
      </c>
      <c r="R89">
        <v>54.19</v>
      </c>
      <c r="S89">
        <v>53.93</v>
      </c>
      <c r="T89">
        <v>54.19</v>
      </c>
      <c r="U89">
        <v>54.26</v>
      </c>
      <c r="V89">
        <v>54.52</v>
      </c>
      <c r="W89">
        <v>54.63</v>
      </c>
    </row>
    <row r="90" spans="1:23" x14ac:dyDescent="0.35">
      <c r="A90" s="2" t="s">
        <v>79</v>
      </c>
      <c r="B90">
        <v>37.840000000000003</v>
      </c>
      <c r="C90">
        <v>38.270000000000003</v>
      </c>
      <c r="D90">
        <v>41.55</v>
      </c>
      <c r="E90">
        <v>41.69</v>
      </c>
      <c r="F90">
        <v>42.6</v>
      </c>
      <c r="G90">
        <v>43.32</v>
      </c>
      <c r="H90">
        <v>43.74</v>
      </c>
      <c r="I90">
        <v>44.29</v>
      </c>
      <c r="J90">
        <v>44.48</v>
      </c>
      <c r="K90">
        <v>44.66</v>
      </c>
      <c r="L90">
        <v>44.86</v>
      </c>
      <c r="M90">
        <v>44.63</v>
      </c>
      <c r="N90">
        <v>44.34</v>
      </c>
      <c r="O90">
        <v>44.23</v>
      </c>
      <c r="P90">
        <v>44.23</v>
      </c>
      <c r="Q90">
        <v>44</v>
      </c>
      <c r="R90">
        <v>44</v>
      </c>
      <c r="S90">
        <v>43.89</v>
      </c>
      <c r="T90">
        <v>43.77</v>
      </c>
      <c r="U90">
        <v>43.57</v>
      </c>
      <c r="V90">
        <v>43.46</v>
      </c>
      <c r="W90">
        <v>43.46</v>
      </c>
    </row>
    <row r="91" spans="1:23" x14ac:dyDescent="0.35">
      <c r="A91" s="2" t="s">
        <v>80</v>
      </c>
      <c r="B91">
        <v>0.71</v>
      </c>
      <c r="C91">
        <v>0.72</v>
      </c>
      <c r="D91">
        <v>0.73</v>
      </c>
      <c r="E91">
        <v>0.75</v>
      </c>
      <c r="F91">
        <v>0.74</v>
      </c>
      <c r="G91">
        <v>0.76</v>
      </c>
      <c r="H91">
        <v>0.76</v>
      </c>
      <c r="I91">
        <v>0.75</v>
      </c>
      <c r="J91">
        <v>0.75</v>
      </c>
      <c r="K91">
        <v>0.75</v>
      </c>
      <c r="L91">
        <v>0.75</v>
      </c>
      <c r="M91">
        <v>0.75</v>
      </c>
      <c r="N91">
        <v>0.73</v>
      </c>
      <c r="O91">
        <v>0.75</v>
      </c>
      <c r="P91">
        <v>0.75</v>
      </c>
      <c r="Q91">
        <v>0.75</v>
      </c>
      <c r="R91">
        <v>0.75</v>
      </c>
      <c r="S91">
        <v>0.75</v>
      </c>
      <c r="T91">
        <v>0.75</v>
      </c>
      <c r="U91">
        <v>0.75</v>
      </c>
      <c r="V91">
        <v>0.72</v>
      </c>
      <c r="W91">
        <v>0.72</v>
      </c>
    </row>
    <row r="92" spans="1:23" x14ac:dyDescent="0.35">
      <c r="A92" s="2" t="s">
        <v>81</v>
      </c>
      <c r="B92">
        <v>7.16</v>
      </c>
      <c r="C92">
        <v>7.23</v>
      </c>
      <c r="D92">
        <v>7.16</v>
      </c>
      <c r="E92">
        <v>7.14</v>
      </c>
      <c r="F92">
        <v>7.12</v>
      </c>
      <c r="G92">
        <v>7.09</v>
      </c>
      <c r="H92">
        <v>7.14</v>
      </c>
      <c r="I92">
        <v>7.19</v>
      </c>
      <c r="J92">
        <v>7.23</v>
      </c>
      <c r="K92">
        <v>7.24</v>
      </c>
      <c r="L92">
        <v>7.21</v>
      </c>
      <c r="M92">
        <v>7.17</v>
      </c>
      <c r="N92">
        <v>7.2</v>
      </c>
      <c r="O92">
        <v>7.17</v>
      </c>
      <c r="P92">
        <v>7.18</v>
      </c>
      <c r="Q92">
        <v>7.24</v>
      </c>
      <c r="R92">
        <v>7.21</v>
      </c>
      <c r="S92">
        <v>7.18</v>
      </c>
      <c r="T92">
        <v>7.12</v>
      </c>
      <c r="U92">
        <v>7.12</v>
      </c>
      <c r="V92">
        <v>7.1</v>
      </c>
      <c r="W92">
        <v>7.12</v>
      </c>
    </row>
    <row r="93" spans="1:23" x14ac:dyDescent="0.35">
      <c r="A93" s="2" t="s">
        <v>82</v>
      </c>
      <c r="B93">
        <v>14.82</v>
      </c>
      <c r="C93">
        <v>14.9</v>
      </c>
      <c r="D93">
        <v>14.97</v>
      </c>
      <c r="E93">
        <v>15.34</v>
      </c>
      <c r="F93">
        <v>15.44</v>
      </c>
      <c r="G93">
        <v>15.6</v>
      </c>
      <c r="H93">
        <v>15.72</v>
      </c>
      <c r="I93">
        <v>16.010000000000002</v>
      </c>
      <c r="J93">
        <v>15.85</v>
      </c>
      <c r="K93">
        <v>15.97</v>
      </c>
      <c r="L93">
        <v>15.67</v>
      </c>
      <c r="M93">
        <v>15.37</v>
      </c>
      <c r="N93">
        <v>15.41</v>
      </c>
      <c r="O93">
        <v>15.48</v>
      </c>
      <c r="P93">
        <v>15.46</v>
      </c>
      <c r="Q93">
        <v>15.19</v>
      </c>
      <c r="R93">
        <v>14.65</v>
      </c>
      <c r="S93">
        <v>14.32</v>
      </c>
      <c r="T93">
        <v>14.23</v>
      </c>
      <c r="U93">
        <v>14.07</v>
      </c>
      <c r="V93">
        <v>14.5</v>
      </c>
      <c r="W93">
        <v>14.55</v>
      </c>
    </row>
    <row r="94" spans="1:23" x14ac:dyDescent="0.35">
      <c r="A94" s="2" t="s">
        <v>83</v>
      </c>
      <c r="B94">
        <v>3.61</v>
      </c>
      <c r="C94">
        <v>3.65</v>
      </c>
      <c r="D94">
        <v>3.73</v>
      </c>
      <c r="E94">
        <v>3.79</v>
      </c>
      <c r="F94">
        <v>3.75</v>
      </c>
      <c r="G94">
        <v>3.68</v>
      </c>
      <c r="H94">
        <v>3.66</v>
      </c>
      <c r="I94">
        <v>3.61</v>
      </c>
      <c r="J94">
        <v>3.57</v>
      </c>
      <c r="K94">
        <v>3.54</v>
      </c>
      <c r="L94">
        <v>3.56</v>
      </c>
      <c r="M94">
        <v>3.56</v>
      </c>
      <c r="N94">
        <v>3.59</v>
      </c>
      <c r="O94">
        <v>3.66</v>
      </c>
      <c r="P94">
        <v>3.62</v>
      </c>
      <c r="Q94">
        <v>3.57</v>
      </c>
      <c r="R94">
        <v>3.53</v>
      </c>
      <c r="S94">
        <v>3.52</v>
      </c>
      <c r="T94">
        <v>3.51</v>
      </c>
      <c r="U94">
        <v>3.5</v>
      </c>
      <c r="V94">
        <v>3.52</v>
      </c>
      <c r="W94">
        <v>3.54</v>
      </c>
    </row>
    <row r="95" spans="1:23" x14ac:dyDescent="0.35">
      <c r="A95" s="2" t="s">
        <v>84</v>
      </c>
      <c r="B95">
        <v>13.29</v>
      </c>
      <c r="C95">
        <v>13.41</v>
      </c>
      <c r="D95">
        <v>13.87</v>
      </c>
      <c r="E95">
        <v>14.33</v>
      </c>
      <c r="F95">
        <v>14.5</v>
      </c>
      <c r="G95">
        <v>14.77</v>
      </c>
      <c r="H95">
        <v>15.07</v>
      </c>
      <c r="I95">
        <v>14.96</v>
      </c>
      <c r="J95">
        <v>14.97</v>
      </c>
      <c r="K95">
        <v>14.92</v>
      </c>
      <c r="L95">
        <v>15.1</v>
      </c>
      <c r="M95">
        <v>14.97</v>
      </c>
      <c r="N95">
        <v>15.08</v>
      </c>
      <c r="O95">
        <v>14.96</v>
      </c>
      <c r="P95">
        <v>14.92</v>
      </c>
      <c r="Q95">
        <v>15.11</v>
      </c>
      <c r="R95">
        <v>15.33</v>
      </c>
      <c r="S95">
        <v>15.35</v>
      </c>
      <c r="T95">
        <v>15.26</v>
      </c>
      <c r="U95">
        <v>15.4</v>
      </c>
      <c r="V95">
        <v>15.28</v>
      </c>
      <c r="W95">
        <v>15.12</v>
      </c>
    </row>
    <row r="96" spans="1:23" x14ac:dyDescent="0.35">
      <c r="A96" s="2" t="s">
        <v>85</v>
      </c>
      <c r="B96">
        <v>14.43</v>
      </c>
      <c r="C96">
        <v>14.74</v>
      </c>
      <c r="D96">
        <v>15.28</v>
      </c>
      <c r="E96">
        <v>15.71</v>
      </c>
      <c r="F96">
        <v>15.64</v>
      </c>
      <c r="G96">
        <v>15.86</v>
      </c>
      <c r="H96">
        <v>15.28</v>
      </c>
      <c r="I96">
        <v>14.65</v>
      </c>
      <c r="J96">
        <v>14.23</v>
      </c>
      <c r="K96">
        <v>13.87</v>
      </c>
      <c r="L96">
        <v>13.36</v>
      </c>
      <c r="M96">
        <v>13.15</v>
      </c>
      <c r="N96">
        <v>13.28</v>
      </c>
      <c r="O96">
        <v>13.55</v>
      </c>
      <c r="P96">
        <v>13.62</v>
      </c>
      <c r="Q96">
        <v>13.75</v>
      </c>
      <c r="R96">
        <v>13.47</v>
      </c>
      <c r="S96">
        <v>13.08</v>
      </c>
      <c r="T96">
        <v>13.02</v>
      </c>
      <c r="U96">
        <v>13.31</v>
      </c>
      <c r="V96">
        <v>13.39</v>
      </c>
      <c r="W96">
        <v>13.37</v>
      </c>
    </row>
    <row r="97" spans="1:23" x14ac:dyDescent="0.35">
      <c r="A97" s="2" t="s">
        <v>86</v>
      </c>
      <c r="B97">
        <v>5.12</v>
      </c>
      <c r="C97">
        <v>5.15</v>
      </c>
      <c r="D97">
        <v>5.14</v>
      </c>
      <c r="E97">
        <v>5.21</v>
      </c>
      <c r="F97">
        <v>5.14</v>
      </c>
      <c r="G97">
        <v>5.2</v>
      </c>
      <c r="H97">
        <v>5.32</v>
      </c>
      <c r="I97">
        <v>5.39</v>
      </c>
      <c r="J97">
        <v>5.41</v>
      </c>
      <c r="K97">
        <v>5.35</v>
      </c>
      <c r="L97">
        <v>5.28</v>
      </c>
      <c r="M97">
        <v>5.2</v>
      </c>
      <c r="N97">
        <v>5.08</v>
      </c>
      <c r="O97">
        <v>5.09</v>
      </c>
      <c r="P97">
        <v>5.05</v>
      </c>
      <c r="Q97">
        <v>5.12</v>
      </c>
      <c r="R97">
        <v>5.03</v>
      </c>
      <c r="S97">
        <v>5.09</v>
      </c>
      <c r="T97">
        <v>4.97</v>
      </c>
      <c r="U97">
        <v>4.8499999999999996</v>
      </c>
      <c r="V97">
        <v>4.79</v>
      </c>
      <c r="W97">
        <v>4.8</v>
      </c>
    </row>
    <row r="98" spans="1:23" x14ac:dyDescent="0.35">
      <c r="A98" s="2" t="s">
        <v>87</v>
      </c>
      <c r="B98">
        <v>1.87</v>
      </c>
      <c r="C98">
        <v>1.9</v>
      </c>
      <c r="D98">
        <v>1.91</v>
      </c>
      <c r="E98">
        <v>1.91</v>
      </c>
      <c r="F98">
        <v>1.93</v>
      </c>
      <c r="G98">
        <v>1.92</v>
      </c>
      <c r="H98">
        <v>1.95</v>
      </c>
      <c r="I98">
        <v>1.96</v>
      </c>
      <c r="J98">
        <v>1.93</v>
      </c>
      <c r="K98">
        <v>1.93</v>
      </c>
      <c r="L98">
        <v>1.9</v>
      </c>
      <c r="M98">
        <v>1.9</v>
      </c>
      <c r="N98">
        <v>1.88</v>
      </c>
      <c r="O98">
        <v>1.9</v>
      </c>
      <c r="P98">
        <v>1.92</v>
      </c>
      <c r="Q98">
        <v>1.88</v>
      </c>
      <c r="R98">
        <v>1.96</v>
      </c>
      <c r="S98">
        <v>1.92</v>
      </c>
      <c r="T98">
        <v>1.89</v>
      </c>
      <c r="U98">
        <v>1.85</v>
      </c>
      <c r="V98">
        <v>1.84</v>
      </c>
      <c r="W98">
        <v>1.88</v>
      </c>
    </row>
    <row r="99" spans="1:23" x14ac:dyDescent="0.35">
      <c r="A99" s="2" t="s">
        <v>88</v>
      </c>
      <c r="B99">
        <v>6.66</v>
      </c>
      <c r="C99">
        <v>6.82</v>
      </c>
      <c r="D99">
        <v>6.44</v>
      </c>
      <c r="E99">
        <v>6.56</v>
      </c>
      <c r="F99">
        <v>6.56</v>
      </c>
      <c r="G99">
        <v>6.35</v>
      </c>
      <c r="H99">
        <v>6.53</v>
      </c>
      <c r="I99">
        <v>6.65</v>
      </c>
      <c r="J99">
        <v>6.43</v>
      </c>
      <c r="K99">
        <v>6.66</v>
      </c>
      <c r="L99">
        <v>6.59</v>
      </c>
      <c r="M99">
        <v>6.31</v>
      </c>
      <c r="N99">
        <v>6.69</v>
      </c>
      <c r="O99">
        <v>6.2</v>
      </c>
      <c r="P99">
        <v>6.13</v>
      </c>
      <c r="Q99">
        <v>6.04</v>
      </c>
      <c r="R99">
        <v>5.8</v>
      </c>
      <c r="S99">
        <v>5.97</v>
      </c>
      <c r="T99">
        <v>6.31</v>
      </c>
      <c r="U99">
        <v>6.16</v>
      </c>
      <c r="V99">
        <v>6.31</v>
      </c>
      <c r="W99">
        <v>5.95</v>
      </c>
    </row>
    <row r="100" spans="1:23" x14ac:dyDescent="0.35">
      <c r="A100" s="2" t="s">
        <v>89</v>
      </c>
      <c r="B100">
        <v>1.47</v>
      </c>
      <c r="C100">
        <v>1.51</v>
      </c>
      <c r="D100">
        <v>1.38</v>
      </c>
      <c r="E100">
        <v>1.39</v>
      </c>
      <c r="F100">
        <v>1.33</v>
      </c>
      <c r="G100">
        <v>1.38</v>
      </c>
      <c r="H100">
        <v>1.31</v>
      </c>
      <c r="I100">
        <v>1.38</v>
      </c>
      <c r="J100">
        <v>1.49</v>
      </c>
      <c r="K100">
        <v>1.49</v>
      </c>
      <c r="L100">
        <v>1.5</v>
      </c>
      <c r="M100">
        <v>1.43</v>
      </c>
      <c r="N100">
        <v>1.36</v>
      </c>
      <c r="O100">
        <v>1.37</v>
      </c>
      <c r="P100">
        <v>1.45</v>
      </c>
      <c r="Q100">
        <v>1.49</v>
      </c>
      <c r="R100">
        <v>1.45</v>
      </c>
      <c r="S100">
        <v>1.53</v>
      </c>
      <c r="T100">
        <v>1.45</v>
      </c>
      <c r="U100">
        <v>1.49</v>
      </c>
      <c r="V100">
        <v>1.49</v>
      </c>
      <c r="W100">
        <v>1.54</v>
      </c>
    </row>
    <row r="101" spans="1:23" x14ac:dyDescent="0.35">
      <c r="A101" s="2" t="s">
        <v>90</v>
      </c>
      <c r="B101">
        <v>95.64</v>
      </c>
      <c r="C101">
        <v>95.43</v>
      </c>
      <c r="D101">
        <v>97.61</v>
      </c>
      <c r="E101">
        <v>98.77</v>
      </c>
      <c r="F101">
        <v>97.81</v>
      </c>
      <c r="G101">
        <v>98.43</v>
      </c>
      <c r="H101">
        <v>97.34</v>
      </c>
      <c r="I101">
        <v>98.83</v>
      </c>
      <c r="J101">
        <v>98.43</v>
      </c>
      <c r="K101">
        <v>99.52</v>
      </c>
      <c r="L101">
        <v>100.26</v>
      </c>
      <c r="M101">
        <v>100.81</v>
      </c>
      <c r="N101">
        <v>101.49</v>
      </c>
      <c r="O101">
        <v>102.37</v>
      </c>
      <c r="P101">
        <v>101.22</v>
      </c>
      <c r="Q101">
        <v>102.64</v>
      </c>
      <c r="R101">
        <v>103.26</v>
      </c>
      <c r="S101">
        <v>103.46</v>
      </c>
      <c r="T101">
        <v>101.22</v>
      </c>
      <c r="U101">
        <v>99.99</v>
      </c>
      <c r="V101">
        <v>101.01</v>
      </c>
      <c r="W101">
        <v>101.62</v>
      </c>
    </row>
    <row r="102" spans="1:23" x14ac:dyDescent="0.35">
      <c r="A102" s="2" t="s">
        <v>91</v>
      </c>
      <c r="B102">
        <v>4.4800000000000004</v>
      </c>
      <c r="C102">
        <v>4.5199999999999996</v>
      </c>
      <c r="D102">
        <v>4.6100000000000003</v>
      </c>
      <c r="E102">
        <v>4.76</v>
      </c>
      <c r="F102">
        <v>4.7699999999999996</v>
      </c>
      <c r="G102">
        <v>4.71</v>
      </c>
      <c r="H102">
        <v>4.76</v>
      </c>
      <c r="I102">
        <v>4.76</v>
      </c>
      <c r="J102">
        <v>4.7699999999999996</v>
      </c>
      <c r="K102">
        <v>4.8099999999999996</v>
      </c>
      <c r="L102">
        <v>4.82</v>
      </c>
      <c r="M102">
        <v>4.5599999999999996</v>
      </c>
      <c r="N102">
        <v>4.7699999999999996</v>
      </c>
      <c r="O102">
        <v>4.76</v>
      </c>
      <c r="P102">
        <v>4.75</v>
      </c>
      <c r="Q102">
        <v>4.76</v>
      </c>
      <c r="R102">
        <v>4.83</v>
      </c>
      <c r="S102">
        <v>4.83</v>
      </c>
      <c r="T102">
        <v>4.87</v>
      </c>
      <c r="U102">
        <v>4.88</v>
      </c>
      <c r="V102">
        <v>4.8899999999999997</v>
      </c>
      <c r="W102">
        <v>4.9000000000000004</v>
      </c>
    </row>
    <row r="103" spans="1:23" x14ac:dyDescent="0.35">
      <c r="A103" s="2" t="s">
        <v>92</v>
      </c>
      <c r="B103">
        <v>1.57</v>
      </c>
      <c r="C103">
        <v>1.57</v>
      </c>
      <c r="D103">
        <v>1.63</v>
      </c>
      <c r="E103">
        <v>1.63</v>
      </c>
      <c r="F103">
        <v>1.63</v>
      </c>
      <c r="G103">
        <v>1.63</v>
      </c>
      <c r="H103">
        <v>1.63</v>
      </c>
      <c r="I103">
        <v>1.61</v>
      </c>
      <c r="J103">
        <v>1.61</v>
      </c>
      <c r="K103">
        <v>1.61</v>
      </c>
      <c r="L103">
        <v>1.61</v>
      </c>
      <c r="M103">
        <v>1.8</v>
      </c>
      <c r="N103">
        <v>1.8</v>
      </c>
      <c r="O103">
        <v>1.8</v>
      </c>
      <c r="P103">
        <v>1.8</v>
      </c>
      <c r="Q103">
        <v>1.81</v>
      </c>
      <c r="R103">
        <v>1.81</v>
      </c>
      <c r="S103">
        <v>1.84</v>
      </c>
      <c r="T103">
        <v>1.91</v>
      </c>
      <c r="U103">
        <v>1.91</v>
      </c>
      <c r="V103">
        <v>1.91</v>
      </c>
      <c r="W103">
        <v>1.91</v>
      </c>
    </row>
    <row r="104" spans="1:23" x14ac:dyDescent="0.35">
      <c r="A104" s="2" t="s">
        <v>93</v>
      </c>
      <c r="B104">
        <v>0.82</v>
      </c>
      <c r="C104">
        <v>0.82</v>
      </c>
      <c r="D104">
        <v>0.82</v>
      </c>
      <c r="E104">
        <v>0.87</v>
      </c>
      <c r="F104">
        <v>0.9</v>
      </c>
      <c r="G104">
        <v>0.94</v>
      </c>
      <c r="H104">
        <v>0.93</v>
      </c>
      <c r="I104">
        <v>0.93</v>
      </c>
      <c r="J104">
        <v>0.92</v>
      </c>
      <c r="K104">
        <v>0.93</v>
      </c>
      <c r="L104">
        <v>0.95</v>
      </c>
      <c r="M104">
        <v>0.96</v>
      </c>
      <c r="N104">
        <v>0.97</v>
      </c>
      <c r="O104">
        <v>0.97</v>
      </c>
      <c r="P104">
        <v>1.01</v>
      </c>
      <c r="Q104">
        <v>1</v>
      </c>
      <c r="R104">
        <v>1.01</v>
      </c>
      <c r="S104">
        <v>0.99</v>
      </c>
      <c r="T104">
        <v>0.98</v>
      </c>
      <c r="U104">
        <v>0.97</v>
      </c>
      <c r="V104">
        <v>0.97</v>
      </c>
      <c r="W104">
        <v>0.98</v>
      </c>
    </row>
    <row r="105" spans="1:23" x14ac:dyDescent="0.35">
      <c r="A105" s="2" t="s">
        <v>799</v>
      </c>
      <c r="B105">
        <v>284.91000000000003</v>
      </c>
      <c r="C105">
        <v>284.91000000000003</v>
      </c>
      <c r="D105">
        <v>290.95</v>
      </c>
      <c r="E105">
        <v>294.76</v>
      </c>
      <c r="F105">
        <v>295.43</v>
      </c>
      <c r="G105">
        <v>293.86</v>
      </c>
      <c r="H105">
        <v>293.41000000000003</v>
      </c>
      <c r="I105">
        <v>289.61</v>
      </c>
      <c r="J105">
        <v>289.83</v>
      </c>
      <c r="K105">
        <v>289.16000000000003</v>
      </c>
      <c r="L105">
        <v>286.7</v>
      </c>
      <c r="M105">
        <v>286.7</v>
      </c>
      <c r="N105">
        <v>287.82</v>
      </c>
      <c r="O105">
        <v>288.04000000000002</v>
      </c>
      <c r="P105">
        <v>287.14999999999998</v>
      </c>
      <c r="Q105">
        <v>287.37</v>
      </c>
      <c r="R105">
        <v>285.58</v>
      </c>
      <c r="S105">
        <v>284.45999999999998</v>
      </c>
      <c r="T105">
        <v>284.24</v>
      </c>
      <c r="U105">
        <v>284.45999999999998</v>
      </c>
      <c r="V105">
        <v>286.47000000000003</v>
      </c>
      <c r="W105">
        <v>284.68</v>
      </c>
    </row>
    <row r="106" spans="1:23" x14ac:dyDescent="0.35">
      <c r="A106" s="2" t="s">
        <v>94</v>
      </c>
      <c r="B106">
        <v>3.44</v>
      </c>
      <c r="C106">
        <v>3.48</v>
      </c>
      <c r="D106">
        <v>3.48</v>
      </c>
      <c r="E106">
        <v>3.49</v>
      </c>
      <c r="F106">
        <v>3.53</v>
      </c>
      <c r="G106">
        <v>3.6</v>
      </c>
      <c r="H106">
        <v>3.59</v>
      </c>
      <c r="I106">
        <v>3.57</v>
      </c>
      <c r="J106">
        <v>3.57</v>
      </c>
      <c r="K106">
        <v>3.55</v>
      </c>
      <c r="L106">
        <v>3.57</v>
      </c>
      <c r="M106">
        <v>3.64</v>
      </c>
      <c r="N106">
        <v>3.62</v>
      </c>
      <c r="O106">
        <v>3.61</v>
      </c>
      <c r="P106">
        <v>3.53</v>
      </c>
      <c r="Q106">
        <v>3.53</v>
      </c>
      <c r="R106">
        <v>3.52</v>
      </c>
      <c r="S106">
        <v>3.5</v>
      </c>
      <c r="T106">
        <v>3.47</v>
      </c>
      <c r="U106">
        <v>3.53</v>
      </c>
      <c r="V106">
        <v>3.5</v>
      </c>
      <c r="W106">
        <v>3.46</v>
      </c>
    </row>
    <row r="107" spans="1:23" x14ac:dyDescent="0.35">
      <c r="A107" s="2" t="s">
        <v>800</v>
      </c>
      <c r="B107">
        <v>27.93</v>
      </c>
      <c r="C107">
        <v>28.11</v>
      </c>
      <c r="D107">
        <v>28.49</v>
      </c>
      <c r="E107">
        <v>28.27</v>
      </c>
      <c r="F107">
        <v>28.52</v>
      </c>
      <c r="G107">
        <v>28.54</v>
      </c>
      <c r="H107">
        <v>28.65</v>
      </c>
      <c r="I107">
        <v>28.92</v>
      </c>
      <c r="J107">
        <v>28.81</v>
      </c>
      <c r="K107">
        <v>28.27</v>
      </c>
      <c r="L107">
        <v>28.33</v>
      </c>
      <c r="M107">
        <v>28.27</v>
      </c>
      <c r="N107">
        <v>28.3</v>
      </c>
      <c r="O107">
        <v>28.44</v>
      </c>
      <c r="P107">
        <v>28.3</v>
      </c>
      <c r="Q107">
        <v>28.54</v>
      </c>
      <c r="R107">
        <v>28.7</v>
      </c>
      <c r="S107">
        <v>28.44</v>
      </c>
      <c r="T107">
        <v>28.73</v>
      </c>
      <c r="U107">
        <v>28.54</v>
      </c>
      <c r="V107">
        <v>28.57</v>
      </c>
      <c r="W107">
        <v>28.57</v>
      </c>
    </row>
    <row r="108" spans="1:23" x14ac:dyDescent="0.35">
      <c r="A108" s="2" t="s">
        <v>95</v>
      </c>
      <c r="B108">
        <v>1.41</v>
      </c>
      <c r="C108">
        <v>1.47</v>
      </c>
      <c r="D108">
        <v>1.52</v>
      </c>
      <c r="E108">
        <v>1.43</v>
      </c>
      <c r="F108">
        <v>1.43</v>
      </c>
      <c r="G108">
        <v>1.5</v>
      </c>
      <c r="H108">
        <v>1.46</v>
      </c>
      <c r="I108">
        <v>1.44</v>
      </c>
      <c r="J108">
        <v>1.49</v>
      </c>
      <c r="K108">
        <v>1.54</v>
      </c>
      <c r="L108">
        <v>1.51</v>
      </c>
      <c r="M108">
        <v>1.52</v>
      </c>
      <c r="N108">
        <v>1.51</v>
      </c>
      <c r="O108">
        <v>1.54</v>
      </c>
      <c r="P108">
        <v>1.51</v>
      </c>
      <c r="Q108">
        <v>1.56</v>
      </c>
      <c r="R108">
        <v>1.56</v>
      </c>
      <c r="S108">
        <v>1.51</v>
      </c>
      <c r="T108">
        <v>1.53</v>
      </c>
      <c r="U108">
        <v>1.53</v>
      </c>
      <c r="V108">
        <v>1.53</v>
      </c>
      <c r="W108">
        <v>1.52</v>
      </c>
    </row>
    <row r="109" spans="1:23" x14ac:dyDescent="0.35">
      <c r="A109" s="2" t="s">
        <v>96</v>
      </c>
      <c r="B109">
        <v>6.34</v>
      </c>
      <c r="C109">
        <v>6.59</v>
      </c>
      <c r="D109">
        <v>6.84</v>
      </c>
      <c r="E109">
        <v>6.91</v>
      </c>
      <c r="F109">
        <v>6.94</v>
      </c>
      <c r="G109">
        <v>6.65</v>
      </c>
      <c r="H109">
        <v>6.43</v>
      </c>
      <c r="I109">
        <v>6.1</v>
      </c>
      <c r="J109">
        <v>6.14</v>
      </c>
      <c r="K109">
        <v>6.25</v>
      </c>
      <c r="L109">
        <v>5.86</v>
      </c>
      <c r="M109">
        <v>5.83</v>
      </c>
      <c r="N109">
        <v>6.02</v>
      </c>
      <c r="O109">
        <v>6.27</v>
      </c>
      <c r="P109">
        <v>5.95</v>
      </c>
      <c r="Q109">
        <v>5.82</v>
      </c>
      <c r="R109">
        <v>5.86</v>
      </c>
      <c r="S109">
        <v>5.76</v>
      </c>
      <c r="T109">
        <v>5.74</v>
      </c>
      <c r="U109">
        <v>5.89</v>
      </c>
      <c r="V109">
        <v>5.91</v>
      </c>
      <c r="W109">
        <v>5.69</v>
      </c>
    </row>
    <row r="110" spans="1:23" x14ac:dyDescent="0.35">
      <c r="A110" s="2" t="s">
        <v>97</v>
      </c>
      <c r="B110">
        <v>7.84</v>
      </c>
      <c r="C110">
        <v>7.59</v>
      </c>
      <c r="D110">
        <v>7.85</v>
      </c>
      <c r="E110">
        <v>7.94</v>
      </c>
      <c r="F110">
        <v>7.89</v>
      </c>
      <c r="G110">
        <v>7.84</v>
      </c>
      <c r="H110">
        <v>7.83</v>
      </c>
      <c r="I110">
        <v>7.68</v>
      </c>
      <c r="J110">
        <v>7.63</v>
      </c>
      <c r="K110">
        <v>7.68</v>
      </c>
      <c r="L110">
        <v>7.73</v>
      </c>
      <c r="M110">
        <v>7.73</v>
      </c>
      <c r="N110">
        <v>7.75</v>
      </c>
      <c r="O110">
        <v>7.78</v>
      </c>
      <c r="P110">
        <v>7.64</v>
      </c>
      <c r="Q110">
        <v>7.61</v>
      </c>
      <c r="R110">
        <v>7.59</v>
      </c>
      <c r="S110">
        <v>7.66</v>
      </c>
      <c r="T110">
        <v>7.53</v>
      </c>
      <c r="U110">
        <v>7.54</v>
      </c>
      <c r="V110">
        <v>7.52</v>
      </c>
      <c r="W110">
        <v>7.61</v>
      </c>
    </row>
    <row r="111" spans="1:23" x14ac:dyDescent="0.35">
      <c r="A111" s="2" t="s">
        <v>98</v>
      </c>
      <c r="B111">
        <v>10.16</v>
      </c>
      <c r="C111">
        <v>10.38</v>
      </c>
      <c r="D111">
        <v>10.55</v>
      </c>
      <c r="E111">
        <v>10.78</v>
      </c>
      <c r="F111">
        <v>10.69</v>
      </c>
      <c r="G111">
        <v>11.09</v>
      </c>
      <c r="H111">
        <v>10.87</v>
      </c>
      <c r="I111">
        <v>10.51</v>
      </c>
      <c r="J111">
        <v>10.48</v>
      </c>
      <c r="K111">
        <v>10.53</v>
      </c>
      <c r="L111">
        <v>10.48</v>
      </c>
      <c r="M111">
        <v>10.4</v>
      </c>
      <c r="N111">
        <v>10.5</v>
      </c>
      <c r="O111">
        <v>10.53</v>
      </c>
      <c r="P111">
        <v>10.61</v>
      </c>
      <c r="Q111">
        <v>10.59</v>
      </c>
      <c r="R111">
        <v>10.65</v>
      </c>
      <c r="S111">
        <v>10.72</v>
      </c>
      <c r="T111">
        <v>10.72</v>
      </c>
      <c r="U111">
        <v>10.69</v>
      </c>
      <c r="V111">
        <v>10.62</v>
      </c>
      <c r="W111">
        <v>10.59</v>
      </c>
    </row>
    <row r="112" spans="1:23" x14ac:dyDescent="0.35">
      <c r="A112" s="2" t="s">
        <v>99</v>
      </c>
      <c r="B112">
        <v>2.0699999999999998</v>
      </c>
      <c r="C112">
        <v>2.0699999999999998</v>
      </c>
      <c r="D112">
        <v>2.14</v>
      </c>
      <c r="E112">
        <v>2.15</v>
      </c>
      <c r="F112">
        <v>2.15</v>
      </c>
      <c r="G112">
        <v>2.15</v>
      </c>
      <c r="H112">
        <v>2.12</v>
      </c>
      <c r="I112">
        <v>2.04</v>
      </c>
      <c r="J112">
        <v>2.04</v>
      </c>
      <c r="K112">
        <v>2</v>
      </c>
      <c r="L112">
        <v>1.95</v>
      </c>
      <c r="M112">
        <v>1.93</v>
      </c>
      <c r="N112">
        <v>1.95</v>
      </c>
      <c r="O112">
        <v>1.95</v>
      </c>
      <c r="P112">
        <v>1.93</v>
      </c>
      <c r="Q112">
        <v>1.92</v>
      </c>
      <c r="R112">
        <v>1.9</v>
      </c>
      <c r="S112">
        <v>1.87</v>
      </c>
      <c r="T112">
        <v>1.89</v>
      </c>
      <c r="U112">
        <v>1.87</v>
      </c>
      <c r="V112">
        <v>1.85</v>
      </c>
      <c r="W112">
        <v>1.85</v>
      </c>
    </row>
    <row r="113" spans="1:23" x14ac:dyDescent="0.35">
      <c r="A113" s="2" t="s">
        <v>801</v>
      </c>
      <c r="B113">
        <v>375.03</v>
      </c>
      <c r="C113">
        <v>377.71</v>
      </c>
      <c r="D113">
        <v>380.69</v>
      </c>
      <c r="E113">
        <v>389.04</v>
      </c>
      <c r="F113">
        <v>393.21</v>
      </c>
      <c r="G113">
        <v>399.47</v>
      </c>
      <c r="H113">
        <v>398.58</v>
      </c>
      <c r="I113">
        <v>397.98</v>
      </c>
      <c r="J113">
        <v>397.39</v>
      </c>
      <c r="K113">
        <v>397.98</v>
      </c>
      <c r="L113">
        <v>400.37</v>
      </c>
      <c r="M113">
        <v>401.86</v>
      </c>
      <c r="N113">
        <v>403.35</v>
      </c>
      <c r="O113">
        <v>403.35</v>
      </c>
      <c r="P113">
        <v>401.26</v>
      </c>
      <c r="Q113">
        <v>403.05</v>
      </c>
      <c r="R113">
        <v>401.56</v>
      </c>
      <c r="S113">
        <v>401.56</v>
      </c>
      <c r="T113">
        <v>401.26</v>
      </c>
      <c r="U113">
        <v>402.46</v>
      </c>
      <c r="V113">
        <v>402.46</v>
      </c>
      <c r="W113">
        <v>404.24</v>
      </c>
    </row>
    <row r="114" spans="1:23" x14ac:dyDescent="0.35">
      <c r="A114" s="2" t="s">
        <v>100</v>
      </c>
      <c r="B114">
        <v>28.11</v>
      </c>
      <c r="C114">
        <v>28.09</v>
      </c>
      <c r="D114">
        <v>28.17</v>
      </c>
      <c r="E114">
        <v>29.58</v>
      </c>
      <c r="F114">
        <v>28.76</v>
      </c>
      <c r="G114">
        <v>29.78</v>
      </c>
      <c r="H114">
        <v>30.54</v>
      </c>
      <c r="I114">
        <v>30.7</v>
      </c>
      <c r="J114">
        <v>31.13</v>
      </c>
      <c r="K114">
        <v>31.4</v>
      </c>
      <c r="L114">
        <v>31.87</v>
      </c>
      <c r="M114">
        <v>32.979999999999997</v>
      </c>
      <c r="N114">
        <v>33.43</v>
      </c>
      <c r="O114">
        <v>33.15</v>
      </c>
      <c r="P114">
        <v>33.01</v>
      </c>
      <c r="Q114">
        <v>33.07</v>
      </c>
      <c r="R114">
        <v>33.03</v>
      </c>
      <c r="S114">
        <v>33.299999999999997</v>
      </c>
      <c r="T114">
        <v>33.549999999999997</v>
      </c>
      <c r="U114">
        <v>33.200000000000003</v>
      </c>
      <c r="V114">
        <v>33.36</v>
      </c>
      <c r="W114">
        <v>33.18</v>
      </c>
    </row>
    <row r="115" spans="1:23" x14ac:dyDescent="0.35">
      <c r="A115" s="2" t="s">
        <v>101</v>
      </c>
      <c r="B115">
        <v>15.46</v>
      </c>
      <c r="C115">
        <v>15.73</v>
      </c>
      <c r="D115">
        <v>15.54</v>
      </c>
      <c r="E115">
        <v>15.95</v>
      </c>
      <c r="F115">
        <v>16.010000000000002</v>
      </c>
      <c r="G115">
        <v>16.489999999999998</v>
      </c>
      <c r="H115">
        <v>16.32</v>
      </c>
      <c r="I115">
        <v>15.6</v>
      </c>
      <c r="J115">
        <v>15.88</v>
      </c>
      <c r="K115">
        <v>16.07</v>
      </c>
      <c r="L115">
        <v>16.399999999999999</v>
      </c>
      <c r="M115">
        <v>16.190000000000001</v>
      </c>
      <c r="N115">
        <v>15.64</v>
      </c>
      <c r="O115">
        <v>15.3</v>
      </c>
      <c r="P115">
        <v>15.21</v>
      </c>
      <c r="Q115">
        <v>15.7</v>
      </c>
      <c r="R115">
        <v>15.24</v>
      </c>
      <c r="S115">
        <v>15.3</v>
      </c>
      <c r="T115">
        <v>14.59</v>
      </c>
      <c r="U115">
        <v>14.54</v>
      </c>
      <c r="V115">
        <v>15.34</v>
      </c>
      <c r="W115">
        <v>15.31</v>
      </c>
    </row>
    <row r="116" spans="1:23" x14ac:dyDescent="0.35">
      <c r="A116" s="2" t="s">
        <v>102</v>
      </c>
      <c r="B116">
        <v>0.75</v>
      </c>
      <c r="C116">
        <v>0.78</v>
      </c>
      <c r="D116">
        <v>0.79</v>
      </c>
      <c r="E116">
        <v>0.81</v>
      </c>
      <c r="F116">
        <v>0.81</v>
      </c>
      <c r="G116">
        <v>0.81</v>
      </c>
      <c r="H116">
        <v>0.81</v>
      </c>
      <c r="I116">
        <v>0.81</v>
      </c>
      <c r="J116">
        <v>0.81</v>
      </c>
      <c r="K116">
        <v>0.83</v>
      </c>
      <c r="L116">
        <v>0.84</v>
      </c>
      <c r="M116">
        <v>0.85</v>
      </c>
      <c r="N116">
        <v>0.85</v>
      </c>
      <c r="O116">
        <v>0.85</v>
      </c>
      <c r="P116">
        <v>0.85</v>
      </c>
      <c r="Q116">
        <v>0.86</v>
      </c>
      <c r="R116">
        <v>0.86</v>
      </c>
      <c r="S116">
        <v>0.86</v>
      </c>
      <c r="T116">
        <v>0.86</v>
      </c>
      <c r="U116">
        <v>0.86</v>
      </c>
      <c r="V116">
        <v>0.87</v>
      </c>
      <c r="W116">
        <v>0.87</v>
      </c>
    </row>
    <row r="117" spans="1:23" x14ac:dyDescent="0.35">
      <c r="A117" s="2" t="s">
        <v>103</v>
      </c>
      <c r="B117">
        <v>3.54</v>
      </c>
      <c r="C117">
        <v>3.59</v>
      </c>
      <c r="D117">
        <v>3.61</v>
      </c>
      <c r="E117">
        <v>3.64</v>
      </c>
      <c r="F117">
        <v>3.76</v>
      </c>
      <c r="G117">
        <v>3.86</v>
      </c>
      <c r="H117">
        <v>3.83</v>
      </c>
      <c r="I117">
        <v>3.82</v>
      </c>
      <c r="J117">
        <v>3.83</v>
      </c>
      <c r="K117">
        <v>3.84</v>
      </c>
      <c r="L117">
        <v>3.85</v>
      </c>
      <c r="M117">
        <v>3.88</v>
      </c>
      <c r="N117">
        <v>3.88</v>
      </c>
      <c r="O117">
        <v>3.89</v>
      </c>
      <c r="P117">
        <v>3.91</v>
      </c>
      <c r="Q117">
        <v>3.89</v>
      </c>
      <c r="R117">
        <v>3.96</v>
      </c>
      <c r="S117">
        <v>3.96</v>
      </c>
      <c r="T117">
        <v>3.95</v>
      </c>
      <c r="U117">
        <v>3.94</v>
      </c>
      <c r="V117">
        <v>4.01</v>
      </c>
      <c r="W117">
        <v>4.0199999999999996</v>
      </c>
    </row>
    <row r="118" spans="1:23" x14ac:dyDescent="0.35">
      <c r="A118" s="2" t="s">
        <v>788</v>
      </c>
      <c r="B118">
        <v>1303.48</v>
      </c>
      <c r="C118">
        <v>1339.92</v>
      </c>
      <c r="D118">
        <v>1434.65</v>
      </c>
      <c r="E118">
        <v>1468.35</v>
      </c>
      <c r="F118">
        <v>1441.03</v>
      </c>
      <c r="G118">
        <v>1366.33</v>
      </c>
      <c r="H118">
        <v>1360.87</v>
      </c>
      <c r="I118">
        <v>1356.31</v>
      </c>
      <c r="J118">
        <v>1335.36</v>
      </c>
      <c r="K118">
        <v>1326.26</v>
      </c>
      <c r="L118">
        <v>1304.3900000000001</v>
      </c>
      <c r="M118">
        <v>1304.3900000000001</v>
      </c>
      <c r="N118">
        <v>1325.34</v>
      </c>
      <c r="O118">
        <v>1338.1</v>
      </c>
      <c r="P118">
        <v>1331.72</v>
      </c>
      <c r="Q118">
        <v>1323.52</v>
      </c>
      <c r="R118">
        <v>1308.04</v>
      </c>
      <c r="S118">
        <v>1289.82</v>
      </c>
      <c r="T118">
        <v>1274.33</v>
      </c>
      <c r="U118">
        <v>1280.71</v>
      </c>
      <c r="V118">
        <v>1302.57</v>
      </c>
      <c r="W118">
        <v>1295.28</v>
      </c>
    </row>
    <row r="119" spans="1:23" x14ac:dyDescent="0.35">
      <c r="A119" s="2" t="s">
        <v>104</v>
      </c>
      <c r="B119">
        <v>18.510000000000002</v>
      </c>
      <c r="C119">
        <v>18.3</v>
      </c>
      <c r="D119">
        <v>19.68</v>
      </c>
      <c r="E119">
        <v>20.420000000000002</v>
      </c>
      <c r="F119">
        <v>21.43</v>
      </c>
      <c r="G119">
        <v>20.59</v>
      </c>
      <c r="H119">
        <v>19.809999999999999</v>
      </c>
      <c r="I119">
        <v>19.14</v>
      </c>
      <c r="J119">
        <v>18.64</v>
      </c>
      <c r="K119">
        <v>18.64</v>
      </c>
      <c r="L119">
        <v>19.11</v>
      </c>
      <c r="M119">
        <v>18.91</v>
      </c>
      <c r="N119">
        <v>19.5</v>
      </c>
      <c r="O119">
        <v>20.3</v>
      </c>
      <c r="P119">
        <v>20.399999999999999</v>
      </c>
      <c r="Q119">
        <v>19.809999999999999</v>
      </c>
      <c r="R119">
        <v>19.66</v>
      </c>
      <c r="S119">
        <v>19.73</v>
      </c>
      <c r="T119">
        <v>19.07</v>
      </c>
      <c r="U119">
        <v>19.100000000000001</v>
      </c>
      <c r="V119">
        <v>19.75</v>
      </c>
      <c r="W119">
        <v>19.02</v>
      </c>
    </row>
    <row r="120" spans="1:23" x14ac:dyDescent="0.35">
      <c r="A120" s="2" t="s">
        <v>105</v>
      </c>
      <c r="B120">
        <v>90.46</v>
      </c>
      <c r="C120">
        <v>93.92</v>
      </c>
      <c r="D120">
        <v>104.29</v>
      </c>
      <c r="E120">
        <v>108.17</v>
      </c>
      <c r="F120">
        <v>105.99</v>
      </c>
      <c r="G120">
        <v>104.41</v>
      </c>
      <c r="H120">
        <v>102.53</v>
      </c>
      <c r="I120">
        <v>103.5</v>
      </c>
      <c r="J120">
        <v>102.29</v>
      </c>
      <c r="K120">
        <v>99.56</v>
      </c>
      <c r="L120">
        <v>95.56</v>
      </c>
      <c r="M120">
        <v>95.56</v>
      </c>
      <c r="N120">
        <v>96.34</v>
      </c>
      <c r="O120">
        <v>97.5</v>
      </c>
      <c r="P120">
        <v>95.8</v>
      </c>
      <c r="Q120">
        <v>95.5</v>
      </c>
      <c r="R120">
        <v>95.56</v>
      </c>
      <c r="S120">
        <v>94.77</v>
      </c>
      <c r="T120">
        <v>94.28</v>
      </c>
      <c r="U120">
        <v>93.92</v>
      </c>
      <c r="V120">
        <v>94.59</v>
      </c>
      <c r="W120">
        <v>93.13</v>
      </c>
    </row>
    <row r="121" spans="1:23" x14ac:dyDescent="0.35">
      <c r="A121" s="2" t="s">
        <v>106</v>
      </c>
      <c r="B121">
        <v>61.41</v>
      </c>
      <c r="C121">
        <v>61.08</v>
      </c>
      <c r="D121">
        <v>65.38</v>
      </c>
      <c r="E121">
        <v>66.05</v>
      </c>
      <c r="F121">
        <v>66.489999999999995</v>
      </c>
      <c r="G121">
        <v>64.819999999999993</v>
      </c>
      <c r="H121">
        <v>64.260000000000005</v>
      </c>
      <c r="I121">
        <v>64.260000000000005</v>
      </c>
      <c r="J121">
        <v>64.48</v>
      </c>
      <c r="K121">
        <v>64.260000000000005</v>
      </c>
      <c r="L121">
        <v>64.260000000000005</v>
      </c>
      <c r="M121">
        <v>63.48</v>
      </c>
      <c r="N121">
        <v>63.76</v>
      </c>
      <c r="O121">
        <v>63.81</v>
      </c>
      <c r="P121">
        <v>64.98</v>
      </c>
      <c r="Q121">
        <v>62.75</v>
      </c>
      <c r="R121">
        <v>64.09</v>
      </c>
      <c r="S121">
        <v>64.09</v>
      </c>
      <c r="T121">
        <v>66.66</v>
      </c>
      <c r="U121">
        <v>64.540000000000006</v>
      </c>
      <c r="V121">
        <v>63.37</v>
      </c>
      <c r="W121">
        <v>63.14</v>
      </c>
    </row>
    <row r="122" spans="1:23" x14ac:dyDescent="0.35">
      <c r="A122" s="2" t="s">
        <v>107</v>
      </c>
      <c r="B122">
        <v>50.88</v>
      </c>
      <c r="C122">
        <v>52.51</v>
      </c>
      <c r="D122">
        <v>56.51</v>
      </c>
      <c r="E122">
        <v>58.64</v>
      </c>
      <c r="F122">
        <v>58.39</v>
      </c>
      <c r="G122">
        <v>55.24</v>
      </c>
      <c r="H122">
        <v>53.72</v>
      </c>
      <c r="I122">
        <v>53.61</v>
      </c>
      <c r="J122">
        <v>52.44</v>
      </c>
      <c r="K122">
        <v>52.62</v>
      </c>
      <c r="L122">
        <v>51.48</v>
      </c>
      <c r="M122">
        <v>51.94</v>
      </c>
      <c r="N122">
        <v>52.55</v>
      </c>
      <c r="O122">
        <v>53.26</v>
      </c>
      <c r="P122">
        <v>53.01</v>
      </c>
      <c r="Q122">
        <v>52.23</v>
      </c>
      <c r="R122">
        <v>51.77</v>
      </c>
      <c r="S122">
        <v>50.88</v>
      </c>
      <c r="T122">
        <v>50.53</v>
      </c>
      <c r="U122">
        <v>50.31</v>
      </c>
      <c r="V122">
        <v>51.34</v>
      </c>
      <c r="W122">
        <v>51.24</v>
      </c>
    </row>
    <row r="123" spans="1:23" x14ac:dyDescent="0.35">
      <c r="A123" s="2" t="s">
        <v>108</v>
      </c>
      <c r="B123">
        <v>129.37</v>
      </c>
      <c r="C123">
        <v>132.41999999999999</v>
      </c>
      <c r="D123">
        <v>141.06</v>
      </c>
      <c r="E123">
        <v>148.72</v>
      </c>
      <c r="F123">
        <v>143.94999999999999</v>
      </c>
      <c r="G123">
        <v>134.06</v>
      </c>
      <c r="H123">
        <v>129.54</v>
      </c>
      <c r="I123">
        <v>126.41</v>
      </c>
      <c r="J123">
        <v>123.11</v>
      </c>
      <c r="K123">
        <v>121.96</v>
      </c>
      <c r="L123">
        <v>119.9</v>
      </c>
      <c r="M123">
        <v>118.25</v>
      </c>
      <c r="N123">
        <v>118.58</v>
      </c>
      <c r="O123">
        <v>123.77</v>
      </c>
      <c r="P123">
        <v>124.27</v>
      </c>
      <c r="Q123">
        <v>123.94</v>
      </c>
      <c r="R123">
        <v>121.3</v>
      </c>
      <c r="S123">
        <v>118.75</v>
      </c>
      <c r="T123">
        <v>117.43</v>
      </c>
      <c r="U123">
        <v>116.44</v>
      </c>
      <c r="V123">
        <v>118.91</v>
      </c>
      <c r="W123">
        <v>119.16</v>
      </c>
    </row>
    <row r="124" spans="1:23" x14ac:dyDescent="0.35">
      <c r="A124" s="2" t="s">
        <v>109</v>
      </c>
      <c r="B124">
        <v>62.49</v>
      </c>
      <c r="C124">
        <v>62.7</v>
      </c>
      <c r="D124">
        <v>65.239999999999995</v>
      </c>
      <c r="E124">
        <v>67.62</v>
      </c>
      <c r="F124">
        <v>66.19</v>
      </c>
      <c r="G124">
        <v>64.290000000000006</v>
      </c>
      <c r="H124">
        <v>63.49</v>
      </c>
      <c r="I124">
        <v>62.91</v>
      </c>
      <c r="J124">
        <v>62.38</v>
      </c>
      <c r="K124">
        <v>61.43</v>
      </c>
      <c r="L124">
        <v>61.11</v>
      </c>
      <c r="M124">
        <v>60.32</v>
      </c>
      <c r="N124">
        <v>61.48</v>
      </c>
      <c r="O124">
        <v>60.85</v>
      </c>
      <c r="P124">
        <v>60.9</v>
      </c>
      <c r="Q124">
        <v>60.32</v>
      </c>
      <c r="R124">
        <v>60.95</v>
      </c>
      <c r="S124">
        <v>59.79</v>
      </c>
      <c r="T124">
        <v>59.58</v>
      </c>
      <c r="U124">
        <v>59.47</v>
      </c>
      <c r="V124">
        <v>59.68</v>
      </c>
      <c r="W124">
        <v>60.32</v>
      </c>
    </row>
    <row r="125" spans="1:23" x14ac:dyDescent="0.35">
      <c r="A125" s="2" t="s">
        <v>110</v>
      </c>
      <c r="B125">
        <v>15.68</v>
      </c>
      <c r="C125">
        <v>16.22</v>
      </c>
      <c r="D125">
        <v>17.22</v>
      </c>
      <c r="E125">
        <v>17.22</v>
      </c>
      <c r="F125">
        <v>16.63</v>
      </c>
      <c r="G125">
        <v>16.059999999999999</v>
      </c>
      <c r="H125">
        <v>15.5</v>
      </c>
      <c r="I125">
        <v>14.79</v>
      </c>
      <c r="J125">
        <v>14.5</v>
      </c>
      <c r="K125">
        <v>14.76</v>
      </c>
      <c r="L125">
        <v>14.79</v>
      </c>
      <c r="M125">
        <v>14.95</v>
      </c>
      <c r="N125">
        <v>15.25</v>
      </c>
      <c r="O125">
        <v>15.28</v>
      </c>
      <c r="P125">
        <v>15.09</v>
      </c>
      <c r="Q125">
        <v>15.24</v>
      </c>
      <c r="R125">
        <v>14.9</v>
      </c>
      <c r="S125">
        <v>14.75</v>
      </c>
      <c r="T125">
        <v>14.61</v>
      </c>
      <c r="U125">
        <v>14.59</v>
      </c>
      <c r="V125">
        <v>14.53</v>
      </c>
      <c r="W125">
        <v>14.62</v>
      </c>
    </row>
    <row r="126" spans="1:23" x14ac:dyDescent="0.35">
      <c r="A126" s="2" t="s">
        <v>111</v>
      </c>
      <c r="B126">
        <v>79.260000000000005</v>
      </c>
      <c r="C126">
        <v>81.22</v>
      </c>
      <c r="D126">
        <v>83.24</v>
      </c>
      <c r="E126">
        <v>84.46</v>
      </c>
      <c r="F126">
        <v>83.3</v>
      </c>
      <c r="G126">
        <v>83.24</v>
      </c>
      <c r="H126">
        <v>78.83</v>
      </c>
      <c r="I126">
        <v>75.77</v>
      </c>
      <c r="J126">
        <v>74.790000000000006</v>
      </c>
      <c r="K126">
        <v>76.569999999999993</v>
      </c>
      <c r="L126">
        <v>75.959999999999994</v>
      </c>
      <c r="M126">
        <v>78.959999999999994</v>
      </c>
      <c r="N126">
        <v>82.08</v>
      </c>
      <c r="O126">
        <v>83.67</v>
      </c>
      <c r="P126">
        <v>83.97</v>
      </c>
      <c r="Q126">
        <v>83.42</v>
      </c>
      <c r="R126">
        <v>82.75</v>
      </c>
      <c r="S126">
        <v>81.28</v>
      </c>
      <c r="T126">
        <v>81.709999999999994</v>
      </c>
      <c r="U126">
        <v>82.44</v>
      </c>
      <c r="V126">
        <v>82.44</v>
      </c>
      <c r="W126">
        <v>81.400000000000006</v>
      </c>
    </row>
    <row r="127" spans="1:23" x14ac:dyDescent="0.35">
      <c r="A127" s="2" t="s">
        <v>112</v>
      </c>
      <c r="B127">
        <v>11.43</v>
      </c>
      <c r="C127">
        <v>11.78</v>
      </c>
      <c r="D127">
        <v>12.01</v>
      </c>
      <c r="E127">
        <v>12.15</v>
      </c>
      <c r="F127">
        <v>12.59</v>
      </c>
      <c r="G127">
        <v>12.31</v>
      </c>
      <c r="H127">
        <v>12.21</v>
      </c>
      <c r="I127">
        <v>12.09</v>
      </c>
      <c r="J127">
        <v>11.81</v>
      </c>
      <c r="K127">
        <v>11.82</v>
      </c>
      <c r="L127">
        <v>11.79</v>
      </c>
      <c r="M127">
        <v>11.85</v>
      </c>
      <c r="N127">
        <v>11.71</v>
      </c>
      <c r="O127">
        <v>11.63</v>
      </c>
      <c r="P127">
        <v>11.57</v>
      </c>
      <c r="Q127">
        <v>11.54</v>
      </c>
      <c r="R127">
        <v>11.47</v>
      </c>
      <c r="S127">
        <v>11.46</v>
      </c>
      <c r="T127">
        <v>11.21</v>
      </c>
      <c r="U127">
        <v>11.07</v>
      </c>
      <c r="V127">
        <v>10.99</v>
      </c>
      <c r="W127">
        <v>11.01</v>
      </c>
    </row>
    <row r="128" spans="1:23" x14ac:dyDescent="0.35">
      <c r="A128" s="2" t="s">
        <v>113</v>
      </c>
      <c r="B128">
        <v>64.06</v>
      </c>
      <c r="C128">
        <v>65.84</v>
      </c>
      <c r="D128">
        <v>70.180000000000007</v>
      </c>
      <c r="E128">
        <v>69.67</v>
      </c>
      <c r="F128">
        <v>66.94</v>
      </c>
      <c r="G128">
        <v>63.43</v>
      </c>
      <c r="H128">
        <v>61.5</v>
      </c>
      <c r="I128">
        <v>61.69</v>
      </c>
      <c r="J128">
        <v>59.76</v>
      </c>
      <c r="K128">
        <v>61.22</v>
      </c>
      <c r="L128">
        <v>60.86</v>
      </c>
      <c r="M128">
        <v>61.38</v>
      </c>
      <c r="N128">
        <v>62.44</v>
      </c>
      <c r="O128">
        <v>62.13</v>
      </c>
      <c r="P128">
        <v>61.61</v>
      </c>
      <c r="Q128">
        <v>61.85</v>
      </c>
      <c r="R128">
        <v>61.97</v>
      </c>
      <c r="S128">
        <v>61.34</v>
      </c>
      <c r="T128">
        <v>60.82</v>
      </c>
      <c r="U128">
        <v>60.71</v>
      </c>
      <c r="V128">
        <v>61.69</v>
      </c>
      <c r="W128">
        <v>61.42</v>
      </c>
    </row>
    <row r="129" spans="1:23" x14ac:dyDescent="0.35">
      <c r="A129" s="2" t="s">
        <v>114</v>
      </c>
      <c r="B129">
        <v>0.37</v>
      </c>
      <c r="C129">
        <v>0.37</v>
      </c>
      <c r="D129">
        <v>0.38</v>
      </c>
      <c r="E129">
        <v>0.39</v>
      </c>
      <c r="F129">
        <v>0.39</v>
      </c>
      <c r="G129">
        <v>0.39</v>
      </c>
      <c r="H129">
        <v>0.39</v>
      </c>
      <c r="I129">
        <v>0.39</v>
      </c>
      <c r="J129">
        <v>0.39</v>
      </c>
      <c r="K129">
        <v>0.39</v>
      </c>
      <c r="L129">
        <v>0.39</v>
      </c>
      <c r="M129">
        <v>0.39</v>
      </c>
      <c r="N129">
        <v>0.39</v>
      </c>
      <c r="O129">
        <v>0.39</v>
      </c>
      <c r="P129">
        <v>0.38</v>
      </c>
      <c r="Q129">
        <v>0.37</v>
      </c>
      <c r="R129">
        <v>0.37</v>
      </c>
      <c r="S129">
        <v>0.36</v>
      </c>
      <c r="T129">
        <v>0.36</v>
      </c>
      <c r="U129">
        <v>0.37</v>
      </c>
      <c r="V129">
        <v>0.37</v>
      </c>
      <c r="W129">
        <v>0.36</v>
      </c>
    </row>
    <row r="130" spans="1:23" x14ac:dyDescent="0.35">
      <c r="A130" s="2" t="s">
        <v>115</v>
      </c>
      <c r="B130">
        <v>2.2599999999999998</v>
      </c>
      <c r="C130">
        <v>2.27</v>
      </c>
      <c r="D130">
        <v>2.27</v>
      </c>
      <c r="E130">
        <v>2.27</v>
      </c>
      <c r="F130">
        <v>2.27</v>
      </c>
      <c r="G130">
        <v>2.2799999999999998</v>
      </c>
      <c r="H130">
        <v>2.2799999999999998</v>
      </c>
      <c r="I130">
        <v>2.27</v>
      </c>
      <c r="J130">
        <v>2.27</v>
      </c>
      <c r="K130">
        <v>2.27</v>
      </c>
      <c r="L130">
        <v>2.27</v>
      </c>
      <c r="M130">
        <v>2.2799999999999998</v>
      </c>
      <c r="N130">
        <v>2.2799999999999998</v>
      </c>
      <c r="O130">
        <v>2.2799999999999998</v>
      </c>
      <c r="P130">
        <v>2.2799999999999998</v>
      </c>
      <c r="Q130">
        <v>2.29</v>
      </c>
      <c r="R130">
        <v>2.29</v>
      </c>
      <c r="S130">
        <v>2.29</v>
      </c>
      <c r="T130">
        <v>2.29</v>
      </c>
      <c r="U130">
        <v>2.29</v>
      </c>
      <c r="V130">
        <v>2.29</v>
      </c>
      <c r="W130">
        <v>2.29</v>
      </c>
    </row>
    <row r="131" spans="1:23" x14ac:dyDescent="0.35">
      <c r="A131" s="2" t="s">
        <v>116</v>
      </c>
      <c r="B131">
        <v>23.56</v>
      </c>
      <c r="C131">
        <v>23.75</v>
      </c>
      <c r="D131">
        <v>24.41</v>
      </c>
      <c r="E131">
        <v>26.02</v>
      </c>
      <c r="F131">
        <v>25.22</v>
      </c>
      <c r="G131">
        <v>25.03</v>
      </c>
      <c r="H131">
        <v>26.09</v>
      </c>
      <c r="I131">
        <v>26.28</v>
      </c>
      <c r="J131">
        <v>26.19</v>
      </c>
      <c r="K131">
        <v>25.5</v>
      </c>
      <c r="L131">
        <v>25.22</v>
      </c>
      <c r="M131">
        <v>25.14</v>
      </c>
      <c r="N131">
        <v>25.58</v>
      </c>
      <c r="O131">
        <v>25.86</v>
      </c>
      <c r="P131">
        <v>25.74</v>
      </c>
      <c r="Q131">
        <v>25.67</v>
      </c>
      <c r="R131">
        <v>25.19</v>
      </c>
      <c r="S131">
        <v>25.12</v>
      </c>
      <c r="T131">
        <v>25</v>
      </c>
      <c r="U131">
        <v>24.64</v>
      </c>
      <c r="V131">
        <v>24.6</v>
      </c>
      <c r="W131">
        <v>25.22</v>
      </c>
    </row>
    <row r="132" spans="1:23" x14ac:dyDescent="0.35">
      <c r="A132" s="2" t="s">
        <v>117</v>
      </c>
      <c r="B132">
        <v>6.23</v>
      </c>
      <c r="C132">
        <v>6.56</v>
      </c>
      <c r="D132">
        <v>6.32</v>
      </c>
      <c r="E132">
        <v>6.25</v>
      </c>
      <c r="F132">
        <v>7</v>
      </c>
      <c r="G132">
        <v>6.61</v>
      </c>
      <c r="H132">
        <v>7.03</v>
      </c>
      <c r="I132">
        <v>7.16</v>
      </c>
      <c r="J132">
        <v>7.1</v>
      </c>
      <c r="K132">
        <v>7.05</v>
      </c>
      <c r="L132">
        <v>7.15</v>
      </c>
      <c r="M132">
        <v>7.03</v>
      </c>
      <c r="N132">
        <v>7.02</v>
      </c>
      <c r="O132">
        <v>7.62</v>
      </c>
      <c r="P132">
        <v>6.74</v>
      </c>
      <c r="Q132">
        <v>6.87</v>
      </c>
      <c r="R132">
        <v>7.13</v>
      </c>
      <c r="S132">
        <v>7.39</v>
      </c>
      <c r="T132">
        <v>7.41</v>
      </c>
      <c r="U132">
        <v>7.13</v>
      </c>
      <c r="V132">
        <v>7.13</v>
      </c>
      <c r="W132">
        <v>7.13</v>
      </c>
    </row>
    <row r="133" spans="1:23" x14ac:dyDescent="0.35">
      <c r="A133" s="2" t="s">
        <v>118</v>
      </c>
      <c r="B133">
        <v>6</v>
      </c>
      <c r="C133">
        <v>6.03</v>
      </c>
      <c r="D133">
        <v>6.05</v>
      </c>
      <c r="E133">
        <v>6.12</v>
      </c>
      <c r="F133">
        <v>6.1</v>
      </c>
      <c r="G133">
        <v>6.14</v>
      </c>
      <c r="H133">
        <v>6.18</v>
      </c>
      <c r="I133">
        <v>6.14</v>
      </c>
      <c r="J133">
        <v>6.15</v>
      </c>
      <c r="K133">
        <v>6.18</v>
      </c>
      <c r="L133">
        <v>6.18</v>
      </c>
      <c r="M133">
        <v>6.2</v>
      </c>
      <c r="N133">
        <v>6.22</v>
      </c>
      <c r="O133">
        <v>6.22</v>
      </c>
      <c r="P133">
        <v>6.22</v>
      </c>
      <c r="Q133">
        <v>6.23</v>
      </c>
      <c r="R133">
        <v>6.35</v>
      </c>
      <c r="S133">
        <v>6.33</v>
      </c>
      <c r="T133">
        <v>6.34</v>
      </c>
      <c r="U133">
        <v>6.39</v>
      </c>
      <c r="V133">
        <v>6.4</v>
      </c>
      <c r="W133">
        <v>6.39</v>
      </c>
    </row>
    <row r="134" spans="1:23" x14ac:dyDescent="0.35">
      <c r="A134" s="2" t="s">
        <v>802</v>
      </c>
      <c r="B134">
        <v>47.48</v>
      </c>
      <c r="C134">
        <v>47.44</v>
      </c>
      <c r="D134">
        <v>47.48</v>
      </c>
      <c r="E134">
        <v>47.48</v>
      </c>
      <c r="F134">
        <v>47.55</v>
      </c>
      <c r="G134">
        <v>47.51</v>
      </c>
      <c r="H134">
        <v>47.51</v>
      </c>
      <c r="I134">
        <v>47.51</v>
      </c>
      <c r="J134">
        <v>47.51</v>
      </c>
      <c r="K134">
        <v>47.51</v>
      </c>
      <c r="L134">
        <v>47.51</v>
      </c>
      <c r="M134">
        <v>47.55</v>
      </c>
      <c r="N134">
        <v>47.55</v>
      </c>
      <c r="O134">
        <v>47.58</v>
      </c>
      <c r="P134">
        <v>47.58</v>
      </c>
      <c r="Q134">
        <v>47.58</v>
      </c>
      <c r="R134">
        <v>47.58</v>
      </c>
      <c r="S134">
        <v>47.58</v>
      </c>
      <c r="T134">
        <v>47.58</v>
      </c>
      <c r="U134">
        <v>47.58</v>
      </c>
      <c r="V134">
        <v>47.87</v>
      </c>
      <c r="W134">
        <v>47.87</v>
      </c>
    </row>
    <row r="135" spans="1:23" x14ac:dyDescent="0.35">
      <c r="A135" s="2" t="s">
        <v>803</v>
      </c>
      <c r="B135">
        <v>10.74</v>
      </c>
      <c r="C135">
        <v>10.8</v>
      </c>
      <c r="D135">
        <v>10.95</v>
      </c>
      <c r="E135">
        <v>10.86</v>
      </c>
      <c r="F135">
        <v>10.88</v>
      </c>
      <c r="G135">
        <v>11.1</v>
      </c>
      <c r="H135">
        <v>10.88</v>
      </c>
      <c r="I135">
        <v>11.1</v>
      </c>
      <c r="J135">
        <v>11.12</v>
      </c>
      <c r="K135">
        <v>11.03</v>
      </c>
      <c r="L135">
        <v>11.05</v>
      </c>
      <c r="M135">
        <v>11.01</v>
      </c>
      <c r="N135">
        <v>11.02</v>
      </c>
      <c r="O135">
        <v>11.05</v>
      </c>
      <c r="P135">
        <v>10.91</v>
      </c>
      <c r="Q135">
        <v>11.14</v>
      </c>
      <c r="R135">
        <v>11.18</v>
      </c>
      <c r="S135">
        <v>11.25</v>
      </c>
      <c r="T135">
        <v>11.4</v>
      </c>
      <c r="U135">
        <v>11.39</v>
      </c>
      <c r="V135">
        <v>11.49</v>
      </c>
      <c r="W135">
        <v>11.42</v>
      </c>
    </row>
    <row r="136" spans="1:23" x14ac:dyDescent="0.35">
      <c r="A136" s="2" t="s">
        <v>804</v>
      </c>
      <c r="B136">
        <v>351.23</v>
      </c>
      <c r="C136">
        <v>351.23</v>
      </c>
      <c r="D136">
        <v>354.6</v>
      </c>
      <c r="E136">
        <v>358.54</v>
      </c>
      <c r="F136">
        <v>357.98</v>
      </c>
      <c r="G136">
        <v>361.92</v>
      </c>
      <c r="H136">
        <v>358.54</v>
      </c>
      <c r="I136">
        <v>361.92</v>
      </c>
      <c r="J136">
        <v>363.61</v>
      </c>
      <c r="K136">
        <v>363.61</v>
      </c>
      <c r="L136">
        <v>362.76</v>
      </c>
      <c r="M136">
        <v>364.45</v>
      </c>
      <c r="N136">
        <v>366.14</v>
      </c>
      <c r="O136">
        <v>365.58</v>
      </c>
      <c r="P136">
        <v>364.45</v>
      </c>
      <c r="Q136">
        <v>367.83</v>
      </c>
      <c r="R136">
        <v>367.27</v>
      </c>
      <c r="S136">
        <v>367.27</v>
      </c>
      <c r="T136">
        <v>368.39</v>
      </c>
      <c r="U136">
        <v>371.77</v>
      </c>
      <c r="V136">
        <v>369.52</v>
      </c>
      <c r="W136">
        <v>372.05</v>
      </c>
    </row>
    <row r="137" spans="1:23" x14ac:dyDescent="0.35">
      <c r="A137" s="2" t="s">
        <v>119</v>
      </c>
      <c r="B137">
        <v>48.66</v>
      </c>
      <c r="C137">
        <v>49.04</v>
      </c>
      <c r="D137">
        <v>50.2</v>
      </c>
      <c r="E137">
        <v>50.46</v>
      </c>
      <c r="F137">
        <v>50.27</v>
      </c>
      <c r="G137">
        <v>51.24</v>
      </c>
      <c r="H137">
        <v>51.32</v>
      </c>
      <c r="I137">
        <v>51.5</v>
      </c>
      <c r="J137">
        <v>51.39</v>
      </c>
      <c r="K137">
        <v>51.73</v>
      </c>
      <c r="L137">
        <v>51.58</v>
      </c>
      <c r="M137">
        <v>52.06</v>
      </c>
      <c r="N137">
        <v>51.54</v>
      </c>
      <c r="O137">
        <v>51.77</v>
      </c>
      <c r="P137">
        <v>50.79</v>
      </c>
      <c r="Q137">
        <v>50.79</v>
      </c>
      <c r="R137">
        <v>50.72</v>
      </c>
      <c r="S137">
        <v>51.09</v>
      </c>
      <c r="T137">
        <v>51.32</v>
      </c>
      <c r="U137">
        <v>52.4</v>
      </c>
      <c r="V137">
        <v>52.51</v>
      </c>
      <c r="W137">
        <v>53.75</v>
      </c>
    </row>
    <row r="138" spans="1:23" x14ac:dyDescent="0.35">
      <c r="A138" s="2" t="s">
        <v>120</v>
      </c>
      <c r="B138">
        <v>0.59</v>
      </c>
      <c r="C138">
        <v>0.61</v>
      </c>
      <c r="D138">
        <v>0.61</v>
      </c>
      <c r="E138">
        <v>0.61</v>
      </c>
      <c r="F138">
        <v>0.62</v>
      </c>
      <c r="G138">
        <v>0.62</v>
      </c>
      <c r="H138">
        <v>0.62</v>
      </c>
      <c r="I138">
        <v>0.61</v>
      </c>
      <c r="J138">
        <v>0.62</v>
      </c>
      <c r="K138">
        <v>0.62</v>
      </c>
      <c r="L138">
        <v>0.61</v>
      </c>
      <c r="M138">
        <v>0.62</v>
      </c>
      <c r="N138">
        <v>0.62</v>
      </c>
      <c r="O138">
        <v>0.61</v>
      </c>
      <c r="P138">
        <v>0.61</v>
      </c>
      <c r="Q138">
        <v>0.63</v>
      </c>
      <c r="R138">
        <v>0.62</v>
      </c>
      <c r="S138">
        <v>0.64</v>
      </c>
      <c r="T138">
        <v>0.64</v>
      </c>
      <c r="U138">
        <v>0.64</v>
      </c>
      <c r="V138">
        <v>0.64</v>
      </c>
      <c r="W138">
        <v>0.65</v>
      </c>
    </row>
    <row r="139" spans="1:23" x14ac:dyDescent="0.35">
      <c r="A139" s="2" t="s">
        <v>121</v>
      </c>
      <c r="B139">
        <v>5.0599999999999996</v>
      </c>
      <c r="C139">
        <v>5.1100000000000003</v>
      </c>
      <c r="D139">
        <v>5.31</v>
      </c>
      <c r="E139">
        <v>5.42</v>
      </c>
      <c r="F139">
        <v>5.43</v>
      </c>
      <c r="G139">
        <v>5.47</v>
      </c>
      <c r="H139">
        <v>5.45</v>
      </c>
      <c r="I139">
        <v>5.69</v>
      </c>
      <c r="J139">
        <v>5.79</v>
      </c>
      <c r="K139">
        <v>5.79</v>
      </c>
      <c r="L139">
        <v>5.79</v>
      </c>
      <c r="M139">
        <v>5.79</v>
      </c>
      <c r="N139">
        <v>5.79</v>
      </c>
      <c r="O139">
        <v>5.8</v>
      </c>
      <c r="P139">
        <v>5.85</v>
      </c>
      <c r="Q139">
        <v>6.12</v>
      </c>
      <c r="R139">
        <v>6.12</v>
      </c>
      <c r="S139">
        <v>6.12</v>
      </c>
      <c r="T139">
        <v>6.12</v>
      </c>
      <c r="U139">
        <v>6.12</v>
      </c>
      <c r="V139">
        <v>6.12</v>
      </c>
      <c r="W139">
        <v>6.16</v>
      </c>
    </row>
    <row r="140" spans="1:23" x14ac:dyDescent="0.35">
      <c r="A140" s="2" t="s">
        <v>122</v>
      </c>
      <c r="B140">
        <v>0.04</v>
      </c>
      <c r="C140">
        <v>0.04</v>
      </c>
      <c r="D140">
        <v>0.04</v>
      </c>
      <c r="E140">
        <v>0.05</v>
      </c>
      <c r="F140">
        <v>0.05</v>
      </c>
      <c r="G140">
        <v>0.05</v>
      </c>
      <c r="H140">
        <v>0.05</v>
      </c>
      <c r="I140">
        <v>0.05</v>
      </c>
      <c r="J140">
        <v>0.05</v>
      </c>
      <c r="K140">
        <v>0.05</v>
      </c>
      <c r="L140">
        <v>0.05</v>
      </c>
      <c r="M140">
        <v>0.05</v>
      </c>
      <c r="N140">
        <v>0.05</v>
      </c>
      <c r="O140">
        <v>0.05</v>
      </c>
      <c r="P140">
        <v>0.05</v>
      </c>
      <c r="Q140">
        <v>0.05</v>
      </c>
      <c r="R140">
        <v>0.05</v>
      </c>
      <c r="S140">
        <v>0.05</v>
      </c>
      <c r="T140">
        <v>0.05</v>
      </c>
      <c r="U140">
        <v>0.05</v>
      </c>
      <c r="V140">
        <v>0.05</v>
      </c>
      <c r="W140">
        <v>0.05</v>
      </c>
    </row>
    <row r="141" spans="1:23" x14ac:dyDescent="0.35">
      <c r="A141" s="2" t="s">
        <v>123</v>
      </c>
      <c r="B141">
        <v>12</v>
      </c>
      <c r="C141">
        <v>12.32</v>
      </c>
      <c r="D141">
        <v>12.66</v>
      </c>
      <c r="E141">
        <v>13.09</v>
      </c>
      <c r="F141">
        <v>12.77</v>
      </c>
      <c r="G141">
        <v>12.71</v>
      </c>
      <c r="H141">
        <v>11.7</v>
      </c>
      <c r="I141">
        <v>11.45</v>
      </c>
      <c r="J141">
        <v>11.16</v>
      </c>
      <c r="K141">
        <v>11.16</v>
      </c>
      <c r="L141">
        <v>11.39</v>
      </c>
      <c r="M141">
        <v>11.59</v>
      </c>
      <c r="N141">
        <v>11.98</v>
      </c>
      <c r="O141">
        <v>12.42</v>
      </c>
      <c r="P141">
        <v>12.4</v>
      </c>
      <c r="Q141">
        <v>12.35</v>
      </c>
      <c r="R141">
        <v>12.04</v>
      </c>
      <c r="S141">
        <v>11.77</v>
      </c>
      <c r="T141">
        <v>11.88</v>
      </c>
      <c r="U141">
        <v>11.94</v>
      </c>
      <c r="V141">
        <v>12.02</v>
      </c>
      <c r="W141">
        <v>12.08</v>
      </c>
    </row>
    <row r="142" spans="1:23" x14ac:dyDescent="0.35">
      <c r="A142" s="2" t="s">
        <v>124</v>
      </c>
      <c r="B142">
        <v>21.3</v>
      </c>
      <c r="C142">
        <v>21.21</v>
      </c>
      <c r="D142">
        <v>21.23</v>
      </c>
      <c r="E142">
        <v>21.53</v>
      </c>
      <c r="F142">
        <v>21.6</v>
      </c>
      <c r="G142">
        <v>21.53</v>
      </c>
      <c r="H142">
        <v>21.49</v>
      </c>
      <c r="I142">
        <v>21.38</v>
      </c>
      <c r="J142">
        <v>21.68</v>
      </c>
      <c r="K142">
        <v>21.66</v>
      </c>
      <c r="L142">
        <v>21.72</v>
      </c>
      <c r="M142">
        <v>21.66</v>
      </c>
      <c r="N142">
        <v>21.45</v>
      </c>
      <c r="O142">
        <v>21.49</v>
      </c>
      <c r="P142">
        <v>21.45</v>
      </c>
      <c r="Q142">
        <v>21.51</v>
      </c>
      <c r="R142">
        <v>21.51</v>
      </c>
      <c r="S142">
        <v>21.47</v>
      </c>
      <c r="T142">
        <v>21.3</v>
      </c>
      <c r="U142">
        <v>21.32</v>
      </c>
      <c r="V142">
        <v>21.38</v>
      </c>
      <c r="W142">
        <v>21.47</v>
      </c>
    </row>
    <row r="143" spans="1:23" x14ac:dyDescent="0.35">
      <c r="A143" s="2" t="s">
        <v>125</v>
      </c>
      <c r="B143">
        <v>7.25</v>
      </c>
      <c r="C143">
        <v>7.26</v>
      </c>
      <c r="D143">
        <v>7.28</v>
      </c>
      <c r="E143">
        <v>7.38</v>
      </c>
      <c r="F143">
        <v>7.46</v>
      </c>
      <c r="G143">
        <v>7.47</v>
      </c>
      <c r="H143">
        <v>7.53</v>
      </c>
      <c r="I143">
        <v>7.53</v>
      </c>
      <c r="J143">
        <v>7.53</v>
      </c>
      <c r="K143">
        <v>7.47</v>
      </c>
      <c r="L143">
        <v>7.45</v>
      </c>
      <c r="M143">
        <v>7.51</v>
      </c>
      <c r="N143">
        <v>7.62</v>
      </c>
      <c r="O143">
        <v>7.43</v>
      </c>
      <c r="P143">
        <v>7.44</v>
      </c>
      <c r="Q143">
        <v>7.48</v>
      </c>
      <c r="R143">
        <v>7.48</v>
      </c>
      <c r="S143">
        <v>7.52</v>
      </c>
      <c r="T143">
        <v>7.48</v>
      </c>
      <c r="U143">
        <v>7.52</v>
      </c>
      <c r="V143">
        <v>7.53</v>
      </c>
      <c r="W143">
        <v>7.59</v>
      </c>
    </row>
    <row r="144" spans="1:23" x14ac:dyDescent="0.35">
      <c r="A144" s="2" t="s">
        <v>126</v>
      </c>
      <c r="B144">
        <v>5.98</v>
      </c>
      <c r="C144">
        <v>6.08</v>
      </c>
      <c r="D144">
        <v>6.05</v>
      </c>
      <c r="E144">
        <v>6.07</v>
      </c>
      <c r="F144">
        <v>6.19</v>
      </c>
      <c r="G144">
        <v>6.15</v>
      </c>
      <c r="H144">
        <v>6.17</v>
      </c>
      <c r="I144">
        <v>6.35</v>
      </c>
      <c r="J144">
        <v>6.29</v>
      </c>
      <c r="K144">
        <v>6.29</v>
      </c>
      <c r="L144">
        <v>6.36</v>
      </c>
      <c r="M144">
        <v>6.55</v>
      </c>
      <c r="N144">
        <v>6.48</v>
      </c>
      <c r="O144">
        <v>6.36</v>
      </c>
      <c r="P144">
        <v>6.4</v>
      </c>
      <c r="Q144">
        <v>6.35</v>
      </c>
      <c r="R144">
        <v>6.49</v>
      </c>
      <c r="S144">
        <v>6.53</v>
      </c>
      <c r="T144">
        <v>6.51</v>
      </c>
      <c r="U144">
        <v>6.52</v>
      </c>
      <c r="V144">
        <v>6.22</v>
      </c>
      <c r="W144">
        <v>6.39</v>
      </c>
    </row>
    <row r="145" spans="1:23" x14ac:dyDescent="0.35">
      <c r="A145" s="2" t="s">
        <v>127</v>
      </c>
      <c r="B145">
        <v>0.03</v>
      </c>
      <c r="C145">
        <v>0.03</v>
      </c>
      <c r="D145">
        <v>0.03</v>
      </c>
      <c r="E145">
        <v>0.03</v>
      </c>
      <c r="F145">
        <v>0.03</v>
      </c>
      <c r="G145">
        <v>0.03</v>
      </c>
      <c r="H145">
        <v>0.03</v>
      </c>
      <c r="I145">
        <v>0.03</v>
      </c>
      <c r="J145">
        <v>0.03</v>
      </c>
      <c r="K145">
        <v>0.03</v>
      </c>
      <c r="L145">
        <v>0.03</v>
      </c>
      <c r="M145">
        <v>0.03</v>
      </c>
      <c r="N145">
        <v>0.03</v>
      </c>
      <c r="O145">
        <v>0.03</v>
      </c>
      <c r="P145">
        <v>0.03</v>
      </c>
      <c r="Q145">
        <v>0.03</v>
      </c>
      <c r="R145">
        <v>0.03</v>
      </c>
      <c r="S145">
        <v>0.03</v>
      </c>
      <c r="T145">
        <v>0.03</v>
      </c>
      <c r="U145">
        <v>0.03</v>
      </c>
      <c r="V145">
        <v>0.03</v>
      </c>
      <c r="W145">
        <v>0.03</v>
      </c>
    </row>
    <row r="146" spans="1:23" x14ac:dyDescent="0.35">
      <c r="A146" s="2" t="s">
        <v>128</v>
      </c>
      <c r="B146">
        <v>8.7899999999999991</v>
      </c>
      <c r="C146">
        <v>8.7899999999999991</v>
      </c>
      <c r="D146">
        <v>8.7899999999999991</v>
      </c>
      <c r="E146">
        <v>8.8800000000000008</v>
      </c>
      <c r="F146">
        <v>8.93</v>
      </c>
      <c r="G146">
        <v>9</v>
      </c>
      <c r="H146">
        <v>9.0399999999999991</v>
      </c>
      <c r="I146">
        <v>8.99</v>
      </c>
      <c r="J146">
        <v>9.06</v>
      </c>
      <c r="K146">
        <v>8.94</v>
      </c>
      <c r="L146">
        <v>9.08</v>
      </c>
      <c r="M146">
        <v>9.2799999999999994</v>
      </c>
      <c r="N146">
        <v>9.31</v>
      </c>
      <c r="O146">
        <v>9.36</v>
      </c>
      <c r="P146">
        <v>9.76</v>
      </c>
      <c r="Q146">
        <v>9.66</v>
      </c>
      <c r="R146">
        <v>9.6199999999999992</v>
      </c>
      <c r="S146">
        <v>9.4600000000000009</v>
      </c>
      <c r="T146">
        <v>9.32</v>
      </c>
      <c r="U146">
        <v>9.26</v>
      </c>
      <c r="V146">
        <v>9.36</v>
      </c>
      <c r="W146">
        <v>9.5399999999999991</v>
      </c>
    </row>
    <row r="147" spans="1:23" x14ac:dyDescent="0.35">
      <c r="A147" s="2" t="s">
        <v>805</v>
      </c>
      <c r="B147">
        <v>0.54</v>
      </c>
      <c r="C147">
        <v>0.56000000000000005</v>
      </c>
      <c r="D147">
        <v>0.56000000000000005</v>
      </c>
      <c r="E147">
        <v>0.56999999999999995</v>
      </c>
      <c r="F147">
        <v>0.56999999999999995</v>
      </c>
      <c r="G147">
        <v>0.56999999999999995</v>
      </c>
      <c r="H147">
        <v>0.56999999999999995</v>
      </c>
      <c r="I147">
        <v>0.56999999999999995</v>
      </c>
      <c r="J147">
        <v>0.56999999999999995</v>
      </c>
      <c r="K147">
        <v>0.57999999999999996</v>
      </c>
      <c r="L147">
        <v>0.59</v>
      </c>
      <c r="M147">
        <v>0.59</v>
      </c>
      <c r="N147">
        <v>0.6</v>
      </c>
      <c r="O147">
        <v>0.59</v>
      </c>
      <c r="P147">
        <v>0.59</v>
      </c>
      <c r="Q147">
        <v>0.59</v>
      </c>
      <c r="R147">
        <v>0.59</v>
      </c>
      <c r="S147">
        <v>0.6</v>
      </c>
      <c r="T147">
        <v>0.63</v>
      </c>
      <c r="U147">
        <v>0.61</v>
      </c>
      <c r="V147">
        <v>0.6</v>
      </c>
      <c r="W147">
        <v>0.6</v>
      </c>
    </row>
    <row r="148" spans="1:23" x14ac:dyDescent="0.35">
      <c r="A148" s="2" t="s">
        <v>129</v>
      </c>
      <c r="B148">
        <v>0.54</v>
      </c>
      <c r="C148">
        <v>0.56000000000000005</v>
      </c>
      <c r="D148">
        <v>0.56000000000000005</v>
      </c>
      <c r="E148">
        <v>0.56999999999999995</v>
      </c>
      <c r="F148">
        <v>0.56999999999999995</v>
      </c>
      <c r="G148">
        <v>0.56999999999999995</v>
      </c>
      <c r="H148">
        <v>0.56999999999999995</v>
      </c>
      <c r="I148">
        <v>0.56999999999999995</v>
      </c>
      <c r="J148">
        <v>0.56999999999999995</v>
      </c>
      <c r="K148">
        <v>0.57999999999999996</v>
      </c>
      <c r="L148">
        <v>0.59</v>
      </c>
      <c r="M148">
        <v>0.59</v>
      </c>
      <c r="N148">
        <v>0.6</v>
      </c>
      <c r="O148">
        <v>0.59</v>
      </c>
      <c r="P148">
        <v>0.59</v>
      </c>
      <c r="Q148">
        <v>0.59</v>
      </c>
      <c r="R148">
        <v>0.59</v>
      </c>
      <c r="S148">
        <v>0.6</v>
      </c>
      <c r="T148">
        <v>0.63</v>
      </c>
      <c r="U148">
        <v>0.61</v>
      </c>
      <c r="V148">
        <v>0.6</v>
      </c>
      <c r="W148">
        <v>0.6</v>
      </c>
    </row>
    <row r="149" spans="1:23" x14ac:dyDescent="0.35">
      <c r="A149" s="2" t="s">
        <v>806</v>
      </c>
      <c r="B149">
        <v>54.49</v>
      </c>
      <c r="C149">
        <v>55.31</v>
      </c>
      <c r="D149">
        <v>54.82</v>
      </c>
      <c r="E149">
        <v>58.61</v>
      </c>
      <c r="F149">
        <v>59.14</v>
      </c>
      <c r="G149">
        <v>58.21</v>
      </c>
      <c r="H149">
        <v>58.9</v>
      </c>
      <c r="I149">
        <v>57.8</v>
      </c>
      <c r="J149">
        <v>58.33</v>
      </c>
      <c r="K149">
        <v>57.84</v>
      </c>
      <c r="L149">
        <v>57.8</v>
      </c>
      <c r="M149">
        <v>56.57</v>
      </c>
      <c r="N149">
        <v>58.86</v>
      </c>
      <c r="O149">
        <v>59.47</v>
      </c>
      <c r="P149">
        <v>58.82</v>
      </c>
      <c r="Q149">
        <v>59.27</v>
      </c>
      <c r="R149">
        <v>59.63</v>
      </c>
      <c r="S149">
        <v>58.53</v>
      </c>
      <c r="T149">
        <v>60.17</v>
      </c>
      <c r="U149">
        <v>59.35</v>
      </c>
      <c r="V149">
        <v>59.88</v>
      </c>
      <c r="W149">
        <v>59.51</v>
      </c>
    </row>
    <row r="150" spans="1:23" x14ac:dyDescent="0.35">
      <c r="A150" s="2" t="s">
        <v>130</v>
      </c>
      <c r="B150">
        <v>0.02</v>
      </c>
      <c r="C150">
        <v>0.02</v>
      </c>
      <c r="D150">
        <v>0.02</v>
      </c>
      <c r="E150">
        <v>0.02</v>
      </c>
      <c r="F150">
        <v>0.02</v>
      </c>
      <c r="G150">
        <v>0.02</v>
      </c>
      <c r="H150">
        <v>0.02</v>
      </c>
      <c r="I150">
        <v>0.02</v>
      </c>
      <c r="J150">
        <v>0.02</v>
      </c>
      <c r="K150">
        <v>0.02</v>
      </c>
      <c r="L150">
        <v>0.02</v>
      </c>
      <c r="M150">
        <v>0.02</v>
      </c>
      <c r="N150">
        <v>0.02</v>
      </c>
      <c r="O150">
        <v>0.02</v>
      </c>
      <c r="P150">
        <v>0.02</v>
      </c>
      <c r="Q150">
        <v>0.02</v>
      </c>
      <c r="R150">
        <v>0.02</v>
      </c>
      <c r="S150">
        <v>0.02</v>
      </c>
      <c r="T150">
        <v>0.02</v>
      </c>
      <c r="U150">
        <v>0.02</v>
      </c>
      <c r="V150">
        <v>0.02</v>
      </c>
      <c r="W150">
        <v>0.02</v>
      </c>
    </row>
    <row r="151" spans="1:23" x14ac:dyDescent="0.35">
      <c r="A151" s="2" t="s">
        <v>131</v>
      </c>
      <c r="B151">
        <v>1.54</v>
      </c>
      <c r="C151">
        <v>1.54</v>
      </c>
      <c r="D151">
        <v>1.57</v>
      </c>
      <c r="E151">
        <v>1.53</v>
      </c>
      <c r="F151">
        <v>1.58</v>
      </c>
      <c r="G151">
        <v>1.6</v>
      </c>
      <c r="H151">
        <v>1.63</v>
      </c>
      <c r="I151">
        <v>1.57</v>
      </c>
      <c r="J151">
        <v>1.61</v>
      </c>
      <c r="K151">
        <v>1.58</v>
      </c>
      <c r="L151">
        <v>1.56</v>
      </c>
      <c r="M151">
        <v>1.59</v>
      </c>
      <c r="N151">
        <v>1.62</v>
      </c>
      <c r="O151">
        <v>1.64</v>
      </c>
      <c r="P151">
        <v>1.69</v>
      </c>
      <c r="Q151">
        <v>1.68</v>
      </c>
      <c r="R151">
        <v>1.66</v>
      </c>
      <c r="S151">
        <v>1.65</v>
      </c>
      <c r="T151">
        <v>1.67</v>
      </c>
      <c r="U151">
        <v>1.66</v>
      </c>
      <c r="V151">
        <v>1.68</v>
      </c>
      <c r="W151">
        <v>1.67</v>
      </c>
    </row>
    <row r="152" spans="1:23" x14ac:dyDescent="0.35">
      <c r="A152" s="2" t="s">
        <v>132</v>
      </c>
      <c r="B152">
        <v>2.91</v>
      </c>
      <c r="C152">
        <v>2.9</v>
      </c>
      <c r="D152">
        <v>2.93</v>
      </c>
      <c r="E152">
        <v>3</v>
      </c>
      <c r="F152">
        <v>3.02</v>
      </c>
      <c r="G152">
        <v>3.03</v>
      </c>
      <c r="H152">
        <v>3.06</v>
      </c>
      <c r="I152">
        <v>3.06</v>
      </c>
      <c r="J152">
        <v>3.1</v>
      </c>
      <c r="K152">
        <v>3.09</v>
      </c>
      <c r="L152">
        <v>3.11</v>
      </c>
      <c r="M152">
        <v>3.16</v>
      </c>
      <c r="N152">
        <v>3.2</v>
      </c>
      <c r="O152">
        <v>3.21</v>
      </c>
      <c r="P152">
        <v>3.24</v>
      </c>
      <c r="Q152">
        <v>3.31</v>
      </c>
      <c r="R152">
        <v>3.33</v>
      </c>
      <c r="S152">
        <v>3.3</v>
      </c>
      <c r="T152">
        <v>3.28</v>
      </c>
      <c r="U152">
        <v>3.23</v>
      </c>
      <c r="V152">
        <v>3.2</v>
      </c>
      <c r="W152">
        <v>3.19</v>
      </c>
    </row>
    <row r="153" spans="1:23" x14ac:dyDescent="0.35">
      <c r="A153" s="2" t="s">
        <v>133</v>
      </c>
      <c r="B153">
        <v>36.65</v>
      </c>
      <c r="C153">
        <v>37.17</v>
      </c>
      <c r="D153">
        <v>37.17</v>
      </c>
      <c r="E153">
        <v>37.56</v>
      </c>
      <c r="F153">
        <v>37.58</v>
      </c>
      <c r="G153">
        <v>37.89</v>
      </c>
      <c r="H153">
        <v>38.590000000000003</v>
      </c>
      <c r="I153">
        <v>38.229999999999997</v>
      </c>
      <c r="J153">
        <v>38.56</v>
      </c>
      <c r="K153">
        <v>38.64</v>
      </c>
      <c r="L153">
        <v>38.869999999999997</v>
      </c>
      <c r="M153">
        <v>38.33</v>
      </c>
      <c r="N153">
        <v>38.85</v>
      </c>
      <c r="O153">
        <v>38.75</v>
      </c>
      <c r="P153">
        <v>38.75</v>
      </c>
      <c r="Q153">
        <v>39.24</v>
      </c>
      <c r="R153">
        <v>39.24</v>
      </c>
      <c r="S153">
        <v>39.340000000000003</v>
      </c>
      <c r="T153">
        <v>39.03</v>
      </c>
      <c r="U153">
        <v>38.9</v>
      </c>
      <c r="V153">
        <v>39.6</v>
      </c>
      <c r="W153">
        <v>39.700000000000003</v>
      </c>
    </row>
    <row r="154" spans="1:23" x14ac:dyDescent="0.35">
      <c r="A154" s="2" t="s">
        <v>134</v>
      </c>
      <c r="B154">
        <v>7.29</v>
      </c>
      <c r="C154">
        <v>7.17</v>
      </c>
      <c r="D154">
        <v>7.27</v>
      </c>
      <c r="E154">
        <v>7.32</v>
      </c>
      <c r="F154">
        <v>7.42</v>
      </c>
      <c r="G154">
        <v>7.46</v>
      </c>
      <c r="H154">
        <v>7.17</v>
      </c>
      <c r="I154">
        <v>7.18</v>
      </c>
      <c r="J154">
        <v>7.17</v>
      </c>
      <c r="K154">
        <v>7.28</v>
      </c>
      <c r="L154">
        <v>7.24</v>
      </c>
      <c r="M154">
        <v>7.2</v>
      </c>
      <c r="N154">
        <v>7.16</v>
      </c>
      <c r="O154">
        <v>7.24</v>
      </c>
      <c r="P154">
        <v>7.29</v>
      </c>
      <c r="Q154">
        <v>7.35</v>
      </c>
      <c r="R154">
        <v>7.38</v>
      </c>
      <c r="S154">
        <v>7.53</v>
      </c>
      <c r="T154">
        <v>7.54</v>
      </c>
      <c r="U154">
        <v>7.39</v>
      </c>
      <c r="V154">
        <v>7.68</v>
      </c>
      <c r="W154">
        <v>7.5</v>
      </c>
    </row>
    <row r="155" spans="1:23" x14ac:dyDescent="0.35">
      <c r="A155" s="2" t="s">
        <v>135</v>
      </c>
      <c r="B155">
        <v>0.52</v>
      </c>
      <c r="C155">
        <v>0.52</v>
      </c>
      <c r="D155">
        <v>0.52</v>
      </c>
      <c r="E155">
        <v>0.52</v>
      </c>
      <c r="F155">
        <v>0.52</v>
      </c>
      <c r="G155">
        <v>0.52</v>
      </c>
      <c r="H155">
        <v>0.52</v>
      </c>
      <c r="I155">
        <v>0.52</v>
      </c>
      <c r="J155">
        <v>0.52</v>
      </c>
      <c r="K155">
        <v>0.52</v>
      </c>
      <c r="L155">
        <v>0.52</v>
      </c>
      <c r="M155">
        <v>0.52</v>
      </c>
      <c r="N155">
        <v>0.52</v>
      </c>
      <c r="O155">
        <v>0.52</v>
      </c>
      <c r="P155">
        <v>0.52</v>
      </c>
      <c r="Q155">
        <v>0.52</v>
      </c>
      <c r="R155">
        <v>0.52</v>
      </c>
      <c r="S155">
        <v>0.52</v>
      </c>
      <c r="T155">
        <v>0.52</v>
      </c>
      <c r="U155">
        <v>0.52</v>
      </c>
      <c r="V155">
        <v>0.52</v>
      </c>
      <c r="W155">
        <v>0.52</v>
      </c>
    </row>
    <row r="156" spans="1:23" x14ac:dyDescent="0.35">
      <c r="A156" s="2" t="s">
        <v>136</v>
      </c>
      <c r="B156">
        <v>0.3</v>
      </c>
      <c r="C156">
        <v>0.28999999999999998</v>
      </c>
      <c r="D156">
        <v>0.3</v>
      </c>
      <c r="E156">
        <v>0.28999999999999998</v>
      </c>
      <c r="F156">
        <v>0.3</v>
      </c>
      <c r="G156">
        <v>0.3</v>
      </c>
      <c r="H156">
        <v>0.28999999999999998</v>
      </c>
      <c r="I156">
        <v>0.28999999999999998</v>
      </c>
      <c r="J156">
        <v>0.3</v>
      </c>
      <c r="K156">
        <v>0.3</v>
      </c>
      <c r="L156">
        <v>0.31</v>
      </c>
      <c r="M156">
        <v>0.3</v>
      </c>
      <c r="N156">
        <v>0.28999999999999998</v>
      </c>
      <c r="O156">
        <v>0.28999999999999998</v>
      </c>
      <c r="P156">
        <v>0.3</v>
      </c>
      <c r="Q156">
        <v>0.28999999999999998</v>
      </c>
      <c r="R156">
        <v>0.3</v>
      </c>
      <c r="S156">
        <v>0.28999999999999998</v>
      </c>
      <c r="T156">
        <v>0.28999999999999998</v>
      </c>
      <c r="U156">
        <v>0.28999999999999998</v>
      </c>
      <c r="V156">
        <v>0.32</v>
      </c>
      <c r="W156">
        <v>0.32</v>
      </c>
    </row>
    <row r="157" spans="1:23" x14ac:dyDescent="0.35">
      <c r="A157" s="2" t="s">
        <v>137</v>
      </c>
      <c r="B157">
        <v>8.5299999999999994</v>
      </c>
      <c r="C157">
        <v>8.82</v>
      </c>
      <c r="D157">
        <v>8.7799999999999994</v>
      </c>
      <c r="E157">
        <v>8.82</v>
      </c>
      <c r="F157">
        <v>8.84</v>
      </c>
      <c r="G157">
        <v>8.89</v>
      </c>
      <c r="H157">
        <v>8.9499999999999993</v>
      </c>
      <c r="I157">
        <v>8.91</v>
      </c>
      <c r="J157">
        <v>8.9700000000000006</v>
      </c>
      <c r="K157">
        <v>8.9700000000000006</v>
      </c>
      <c r="L157">
        <v>8.9700000000000006</v>
      </c>
      <c r="M157">
        <v>9.02</v>
      </c>
      <c r="N157">
        <v>9.06</v>
      </c>
      <c r="O157">
        <v>9.07</v>
      </c>
      <c r="P157">
        <v>9.1</v>
      </c>
      <c r="Q157">
        <v>9.1</v>
      </c>
      <c r="R157">
        <v>9.11</v>
      </c>
      <c r="S157">
        <v>9.07</v>
      </c>
      <c r="T157">
        <v>9.06</v>
      </c>
      <c r="U157">
        <v>9.09</v>
      </c>
      <c r="V157">
        <v>9.09</v>
      </c>
      <c r="W157">
        <v>9.16</v>
      </c>
    </row>
    <row r="158" spans="1:23" x14ac:dyDescent="0.35">
      <c r="A158" s="2" t="s">
        <v>138</v>
      </c>
      <c r="B158">
        <v>1</v>
      </c>
      <c r="C158">
        <v>1</v>
      </c>
      <c r="D158">
        <v>0.99</v>
      </c>
      <c r="E158">
        <v>0.9</v>
      </c>
      <c r="F158">
        <v>0.9</v>
      </c>
      <c r="G158">
        <v>0.97</v>
      </c>
      <c r="H158">
        <v>0.93</v>
      </c>
      <c r="I158">
        <v>0.92</v>
      </c>
      <c r="J158">
        <v>0.9</v>
      </c>
      <c r="K158">
        <v>0.9</v>
      </c>
      <c r="L158">
        <v>0.89</v>
      </c>
      <c r="M158">
        <v>0.92</v>
      </c>
      <c r="N158">
        <v>0.91</v>
      </c>
      <c r="O158">
        <v>0.91</v>
      </c>
      <c r="P158">
        <v>0.9</v>
      </c>
      <c r="Q158">
        <v>0.91</v>
      </c>
      <c r="R158">
        <v>0.91</v>
      </c>
      <c r="S158">
        <v>0.91</v>
      </c>
      <c r="T158">
        <v>0.91</v>
      </c>
      <c r="U158">
        <v>0.91</v>
      </c>
      <c r="V158">
        <v>0.91</v>
      </c>
      <c r="W158">
        <v>0.91</v>
      </c>
    </row>
    <row r="159" spans="1:23" x14ac:dyDescent="0.35">
      <c r="A159" s="2" t="s">
        <v>139</v>
      </c>
      <c r="B159">
        <v>1.48</v>
      </c>
      <c r="C159">
        <v>1.48</v>
      </c>
      <c r="D159">
        <v>1.52</v>
      </c>
      <c r="E159">
        <v>1.52</v>
      </c>
      <c r="F159">
        <v>1.56</v>
      </c>
      <c r="G159">
        <v>1.56</v>
      </c>
      <c r="H159">
        <v>1.6</v>
      </c>
      <c r="I159">
        <v>1.6</v>
      </c>
      <c r="J159">
        <v>1.61</v>
      </c>
      <c r="K159">
        <v>1.61</v>
      </c>
      <c r="L159">
        <v>1.61</v>
      </c>
      <c r="M159">
        <v>1.63</v>
      </c>
      <c r="N159">
        <v>1.62</v>
      </c>
      <c r="O159">
        <v>1.62</v>
      </c>
      <c r="P159">
        <v>1.62</v>
      </c>
      <c r="Q159">
        <v>1.62</v>
      </c>
      <c r="R159">
        <v>1.61</v>
      </c>
      <c r="S159">
        <v>1.61</v>
      </c>
      <c r="T159">
        <v>1.61</v>
      </c>
      <c r="U159">
        <v>1.61</v>
      </c>
      <c r="V159">
        <v>1.61</v>
      </c>
      <c r="W159">
        <v>1.61</v>
      </c>
    </row>
    <row r="160" spans="1:23" x14ac:dyDescent="0.35">
      <c r="A160" s="2" t="s">
        <v>140</v>
      </c>
      <c r="B160">
        <v>124.06</v>
      </c>
      <c r="C160">
        <v>124.06</v>
      </c>
      <c r="D160">
        <v>119.86</v>
      </c>
      <c r="E160">
        <v>118.71</v>
      </c>
      <c r="F160">
        <v>123.11</v>
      </c>
      <c r="G160">
        <v>122.48</v>
      </c>
      <c r="H160">
        <v>123.95</v>
      </c>
      <c r="I160">
        <v>118.82</v>
      </c>
      <c r="J160">
        <v>123.74</v>
      </c>
      <c r="K160">
        <v>122.9</v>
      </c>
      <c r="L160">
        <v>121.44</v>
      </c>
      <c r="M160">
        <v>123.64</v>
      </c>
      <c r="N160">
        <v>122.38</v>
      </c>
      <c r="O160">
        <v>121.96</v>
      </c>
      <c r="P160">
        <v>126.15</v>
      </c>
      <c r="Q160">
        <v>124.79</v>
      </c>
      <c r="R160">
        <v>126.36</v>
      </c>
      <c r="S160">
        <v>125.52</v>
      </c>
      <c r="T160">
        <v>130.97</v>
      </c>
      <c r="U160">
        <v>130.97</v>
      </c>
      <c r="V160">
        <v>130.34</v>
      </c>
      <c r="W160">
        <v>130.03</v>
      </c>
    </row>
    <row r="161" spans="1:23" x14ac:dyDescent="0.35">
      <c r="A161" s="2" t="s">
        <v>141</v>
      </c>
      <c r="B161">
        <v>8.23</v>
      </c>
      <c r="C161">
        <v>8.23</v>
      </c>
      <c r="D161">
        <v>8.27</v>
      </c>
      <c r="E161">
        <v>8.27</v>
      </c>
      <c r="F161">
        <v>8.27</v>
      </c>
      <c r="G161">
        <v>8.2899999999999991</v>
      </c>
      <c r="H161">
        <v>8.39</v>
      </c>
      <c r="I161">
        <v>8.39</v>
      </c>
      <c r="J161">
        <v>8.44</v>
      </c>
      <c r="K161">
        <v>8.42</v>
      </c>
      <c r="L161">
        <v>8.5399999999999991</v>
      </c>
      <c r="M161">
        <v>8.67</v>
      </c>
      <c r="N161">
        <v>8.67</v>
      </c>
      <c r="O161">
        <v>8.7100000000000009</v>
      </c>
      <c r="P161">
        <v>8.7200000000000006</v>
      </c>
      <c r="Q161">
        <v>8.69</v>
      </c>
      <c r="R161">
        <v>8.7100000000000009</v>
      </c>
      <c r="S161">
        <v>8.58</v>
      </c>
      <c r="T161">
        <v>8.6999999999999993</v>
      </c>
      <c r="U161">
        <v>8.65</v>
      </c>
      <c r="V161">
        <v>8.61</v>
      </c>
      <c r="W161">
        <v>8.6</v>
      </c>
    </row>
    <row r="162" spans="1:23" x14ac:dyDescent="0.35">
      <c r="A162" s="2" t="s">
        <v>142</v>
      </c>
      <c r="B162">
        <v>8.2100000000000009</v>
      </c>
      <c r="C162">
        <v>8.44</v>
      </c>
      <c r="D162">
        <v>8.6300000000000008</v>
      </c>
      <c r="E162">
        <v>8.67</v>
      </c>
      <c r="F162">
        <v>8.7200000000000006</v>
      </c>
      <c r="G162">
        <v>8.77</v>
      </c>
      <c r="H162">
        <v>8.91</v>
      </c>
      <c r="I162">
        <v>8.83</v>
      </c>
      <c r="J162">
        <v>8.93</v>
      </c>
      <c r="K162">
        <v>9.0399999999999991</v>
      </c>
      <c r="L162">
        <v>9.15</v>
      </c>
      <c r="M162">
        <v>8.93</v>
      </c>
      <c r="N162">
        <v>9.23</v>
      </c>
      <c r="O162">
        <v>9.08</v>
      </c>
      <c r="P162">
        <v>9.2899999999999991</v>
      </c>
      <c r="Q162">
        <v>9.14</v>
      </c>
      <c r="R162">
        <v>9.17</v>
      </c>
      <c r="S162">
        <v>9.31</v>
      </c>
      <c r="T162">
        <v>9.27</v>
      </c>
      <c r="U162">
        <v>9.34</v>
      </c>
      <c r="V162">
        <v>9.19</v>
      </c>
      <c r="W162">
        <v>9.2799999999999994</v>
      </c>
    </row>
    <row r="163" spans="1:23" x14ac:dyDescent="0.35">
      <c r="A163" s="2" t="s">
        <v>143</v>
      </c>
      <c r="B163">
        <v>22.68</v>
      </c>
      <c r="C163">
        <v>22.68</v>
      </c>
      <c r="D163">
        <v>23.07</v>
      </c>
      <c r="E163">
        <v>23.07</v>
      </c>
      <c r="F163">
        <v>23.07</v>
      </c>
      <c r="G163">
        <v>22.83</v>
      </c>
      <c r="H163">
        <v>21.52</v>
      </c>
      <c r="I163">
        <v>22.41</v>
      </c>
      <c r="J163">
        <v>22.41</v>
      </c>
      <c r="K163">
        <v>22.41</v>
      </c>
      <c r="L163">
        <v>22.14</v>
      </c>
      <c r="M163">
        <v>22.24</v>
      </c>
      <c r="N163">
        <v>22.24</v>
      </c>
      <c r="O163">
        <v>22.24</v>
      </c>
      <c r="P163">
        <v>21.73</v>
      </c>
      <c r="Q163">
        <v>21.72</v>
      </c>
      <c r="R163">
        <v>21.75</v>
      </c>
      <c r="S163">
        <v>21.75</v>
      </c>
      <c r="T163">
        <v>21.75</v>
      </c>
      <c r="U163">
        <v>21.75</v>
      </c>
      <c r="V163">
        <v>21.75</v>
      </c>
      <c r="W163">
        <v>21.75</v>
      </c>
    </row>
    <row r="164" spans="1:23" x14ac:dyDescent="0.35">
      <c r="A164" s="2" t="s">
        <v>807</v>
      </c>
      <c r="B164">
        <v>222.48</v>
      </c>
      <c r="C164">
        <v>222.98</v>
      </c>
      <c r="D164">
        <v>223.32</v>
      </c>
      <c r="E164">
        <v>224.32</v>
      </c>
      <c r="F164">
        <v>225.65</v>
      </c>
      <c r="G164">
        <v>225.98</v>
      </c>
      <c r="H164">
        <v>227.15</v>
      </c>
      <c r="I164">
        <v>228.82</v>
      </c>
      <c r="J164">
        <v>229.49</v>
      </c>
      <c r="K164">
        <v>228.99</v>
      </c>
      <c r="L164">
        <v>229.32</v>
      </c>
      <c r="M164">
        <v>230.49</v>
      </c>
      <c r="N164">
        <v>231.49</v>
      </c>
      <c r="O164">
        <v>232.82</v>
      </c>
      <c r="P164">
        <v>236.16</v>
      </c>
      <c r="Q164">
        <v>236.66</v>
      </c>
      <c r="R164">
        <v>236.83</v>
      </c>
      <c r="S164">
        <v>236.99</v>
      </c>
      <c r="T164">
        <v>237.49</v>
      </c>
      <c r="U164">
        <v>238.16</v>
      </c>
      <c r="V164">
        <v>241.16</v>
      </c>
      <c r="W164">
        <v>239.66</v>
      </c>
    </row>
    <row r="165" spans="1:23" x14ac:dyDescent="0.35">
      <c r="A165" s="2" t="s">
        <v>808</v>
      </c>
      <c r="B165">
        <v>12.11</v>
      </c>
      <c r="C165">
        <v>11.92</v>
      </c>
      <c r="D165">
        <v>11.92</v>
      </c>
      <c r="E165">
        <v>11.92</v>
      </c>
      <c r="F165">
        <v>11.93</v>
      </c>
      <c r="G165">
        <v>11.96</v>
      </c>
      <c r="H165">
        <v>11.96</v>
      </c>
      <c r="I165">
        <v>12.13</v>
      </c>
      <c r="J165">
        <v>12.71</v>
      </c>
      <c r="K165">
        <v>11.99</v>
      </c>
      <c r="L165">
        <v>12.01</v>
      </c>
      <c r="M165">
        <v>11.99</v>
      </c>
      <c r="N165">
        <v>12.46</v>
      </c>
      <c r="O165">
        <v>12.24</v>
      </c>
      <c r="P165">
        <v>12.22</v>
      </c>
      <c r="Q165">
        <v>12.05</v>
      </c>
      <c r="R165">
        <v>12.05</v>
      </c>
      <c r="S165">
        <v>12.17</v>
      </c>
      <c r="T165">
        <v>12.17</v>
      </c>
      <c r="U165">
        <v>12.23</v>
      </c>
      <c r="V165">
        <v>12.26</v>
      </c>
      <c r="W165">
        <v>12.53</v>
      </c>
    </row>
    <row r="166" spans="1:23" x14ac:dyDescent="0.35">
      <c r="A166" s="2" t="s">
        <v>809</v>
      </c>
      <c r="B166">
        <v>176.12</v>
      </c>
      <c r="C166">
        <v>176.78</v>
      </c>
      <c r="D166">
        <v>176.91</v>
      </c>
      <c r="E166">
        <v>177.84</v>
      </c>
      <c r="F166">
        <v>179.03</v>
      </c>
      <c r="G166">
        <v>179.43</v>
      </c>
      <c r="H166">
        <v>179.96</v>
      </c>
      <c r="I166">
        <v>181.41</v>
      </c>
      <c r="J166">
        <v>181.68</v>
      </c>
      <c r="K166">
        <v>181.81</v>
      </c>
      <c r="L166">
        <v>182.08</v>
      </c>
      <c r="M166">
        <v>183.4</v>
      </c>
      <c r="N166">
        <v>184.06</v>
      </c>
      <c r="O166">
        <v>185.65</v>
      </c>
      <c r="P166">
        <v>188.96</v>
      </c>
      <c r="Q166">
        <v>189.75</v>
      </c>
      <c r="R166">
        <v>190.01</v>
      </c>
      <c r="S166">
        <v>190.15</v>
      </c>
      <c r="T166">
        <v>190.41</v>
      </c>
      <c r="U166">
        <v>191.07</v>
      </c>
      <c r="V166">
        <v>193.98</v>
      </c>
      <c r="W166">
        <v>192.26</v>
      </c>
    </row>
    <row r="167" spans="1:23" x14ac:dyDescent="0.35">
      <c r="A167" s="2" t="s">
        <v>810</v>
      </c>
      <c r="B167">
        <v>15.44</v>
      </c>
      <c r="C167">
        <v>15.41</v>
      </c>
      <c r="D167">
        <v>15.54</v>
      </c>
      <c r="E167">
        <v>15.58</v>
      </c>
      <c r="F167">
        <v>15.63</v>
      </c>
      <c r="G167">
        <v>15.63</v>
      </c>
      <c r="H167">
        <v>15.73</v>
      </c>
      <c r="I167">
        <v>15.73</v>
      </c>
      <c r="J167">
        <v>15.72</v>
      </c>
      <c r="K167">
        <v>15.69</v>
      </c>
      <c r="L167">
        <v>15.67</v>
      </c>
      <c r="M167">
        <v>15.56</v>
      </c>
      <c r="N167">
        <v>15.52</v>
      </c>
      <c r="O167">
        <v>15.48</v>
      </c>
      <c r="P167">
        <v>15.49</v>
      </c>
      <c r="Q167">
        <v>15.34</v>
      </c>
      <c r="R167">
        <v>15.32</v>
      </c>
      <c r="S167">
        <v>15.31</v>
      </c>
      <c r="T167">
        <v>15.49</v>
      </c>
      <c r="U167">
        <v>15.48</v>
      </c>
      <c r="V167">
        <v>15.43</v>
      </c>
      <c r="W167">
        <v>15.48</v>
      </c>
    </row>
    <row r="168" spans="1:23" x14ac:dyDescent="0.35">
      <c r="A168" s="2" t="s">
        <v>144</v>
      </c>
      <c r="B168">
        <v>35.94</v>
      </c>
      <c r="C168">
        <v>36.51</v>
      </c>
      <c r="D168">
        <v>36.53</v>
      </c>
      <c r="E168">
        <v>34.5</v>
      </c>
      <c r="F168">
        <v>34.700000000000003</v>
      </c>
      <c r="G168">
        <v>34.880000000000003</v>
      </c>
      <c r="H168">
        <v>34.880000000000003</v>
      </c>
      <c r="I168">
        <v>34.86</v>
      </c>
      <c r="J168">
        <v>35.119999999999997</v>
      </c>
      <c r="K168">
        <v>35.17</v>
      </c>
      <c r="L168">
        <v>35.14</v>
      </c>
      <c r="M168">
        <v>35.17</v>
      </c>
      <c r="N168">
        <v>35.24</v>
      </c>
      <c r="O168">
        <v>35.24</v>
      </c>
      <c r="P168">
        <v>35.24</v>
      </c>
      <c r="Q168">
        <v>35.450000000000003</v>
      </c>
      <c r="R168">
        <v>35.549999999999997</v>
      </c>
      <c r="S168">
        <v>35.369999999999997</v>
      </c>
      <c r="T168">
        <v>35.369999999999997</v>
      </c>
      <c r="U168">
        <v>35.42</v>
      </c>
      <c r="V168">
        <v>35.42</v>
      </c>
      <c r="W168">
        <v>35.450000000000003</v>
      </c>
    </row>
    <row r="169" spans="1:23" x14ac:dyDescent="0.35">
      <c r="A169" s="2" t="s">
        <v>145</v>
      </c>
      <c r="B169">
        <v>0.04</v>
      </c>
      <c r="C169">
        <v>0.04</v>
      </c>
      <c r="D169">
        <v>0.04</v>
      </c>
      <c r="E169">
        <v>0.04</v>
      </c>
      <c r="F169">
        <v>0.04</v>
      </c>
      <c r="G169">
        <v>0.04</v>
      </c>
      <c r="H169">
        <v>0.05</v>
      </c>
      <c r="I169">
        <v>0.04</v>
      </c>
      <c r="J169">
        <v>0.04</v>
      </c>
      <c r="K169">
        <v>0.04</v>
      </c>
      <c r="L169">
        <v>0.04</v>
      </c>
      <c r="M169">
        <v>0.05</v>
      </c>
      <c r="N169">
        <v>0.04</v>
      </c>
      <c r="O169">
        <v>0.05</v>
      </c>
      <c r="P169">
        <v>0.05</v>
      </c>
      <c r="Q169">
        <v>0.05</v>
      </c>
      <c r="R169">
        <v>0.05</v>
      </c>
      <c r="S169">
        <v>0.05</v>
      </c>
      <c r="T169">
        <v>0.05</v>
      </c>
      <c r="U169">
        <v>0.05</v>
      </c>
      <c r="V169">
        <v>0.05</v>
      </c>
      <c r="W169">
        <v>0.05</v>
      </c>
    </row>
    <row r="170" spans="1:23" x14ac:dyDescent="0.35">
      <c r="A170" s="2" t="s">
        <v>146</v>
      </c>
      <c r="B170">
        <v>0.77</v>
      </c>
      <c r="C170">
        <v>0.78</v>
      </c>
      <c r="D170">
        <v>0.79</v>
      </c>
      <c r="E170">
        <v>0.8</v>
      </c>
      <c r="F170">
        <v>0.8</v>
      </c>
      <c r="G170">
        <v>0.8</v>
      </c>
      <c r="H170">
        <v>0.8</v>
      </c>
      <c r="I170">
        <v>0.8</v>
      </c>
      <c r="J170">
        <v>0.82</v>
      </c>
      <c r="K170">
        <v>0.82</v>
      </c>
      <c r="L170">
        <v>0.82</v>
      </c>
      <c r="M170">
        <v>0.82</v>
      </c>
      <c r="N170">
        <v>0.83</v>
      </c>
      <c r="O170">
        <v>0.83</v>
      </c>
      <c r="P170">
        <v>0.83</v>
      </c>
      <c r="Q170">
        <v>0.85</v>
      </c>
      <c r="R170">
        <v>0.86</v>
      </c>
      <c r="S170">
        <v>0.85</v>
      </c>
      <c r="T170">
        <v>0.85</v>
      </c>
      <c r="U170">
        <v>0.84</v>
      </c>
      <c r="V170">
        <v>0.85</v>
      </c>
      <c r="W170">
        <v>0.84</v>
      </c>
    </row>
    <row r="171" spans="1:23" x14ac:dyDescent="0.35">
      <c r="A171" s="2" t="s">
        <v>147</v>
      </c>
      <c r="B171">
        <v>0.32</v>
      </c>
      <c r="C171">
        <v>0.32</v>
      </c>
      <c r="D171">
        <v>0.33</v>
      </c>
      <c r="E171">
        <v>0.34</v>
      </c>
      <c r="F171">
        <v>0.32</v>
      </c>
      <c r="G171">
        <v>0.34</v>
      </c>
      <c r="H171">
        <v>0.34</v>
      </c>
      <c r="I171">
        <v>0.33</v>
      </c>
      <c r="J171">
        <v>0.33</v>
      </c>
      <c r="K171">
        <v>0.33</v>
      </c>
      <c r="L171">
        <v>0.33</v>
      </c>
      <c r="M171">
        <v>0.33</v>
      </c>
      <c r="N171">
        <v>0.33</v>
      </c>
      <c r="O171">
        <v>0.33</v>
      </c>
      <c r="P171">
        <v>0.33</v>
      </c>
      <c r="Q171">
        <v>0.33</v>
      </c>
      <c r="R171">
        <v>0.33</v>
      </c>
      <c r="S171">
        <v>0.33</v>
      </c>
      <c r="T171">
        <v>0.33</v>
      </c>
      <c r="U171">
        <v>0.33</v>
      </c>
      <c r="V171">
        <v>0.33</v>
      </c>
      <c r="W171">
        <v>0.32</v>
      </c>
    </row>
    <row r="172" spans="1:23" x14ac:dyDescent="0.35">
      <c r="A172" s="2" t="s">
        <v>811</v>
      </c>
      <c r="B172">
        <v>7.34</v>
      </c>
      <c r="C172">
        <v>7.29</v>
      </c>
      <c r="D172">
        <v>7.64</v>
      </c>
      <c r="E172">
        <v>7.58</v>
      </c>
      <c r="F172">
        <v>7.55</v>
      </c>
      <c r="G172">
        <v>7.45</v>
      </c>
      <c r="H172">
        <v>7.36</v>
      </c>
      <c r="I172">
        <v>7.39</v>
      </c>
      <c r="J172">
        <v>7.29</v>
      </c>
      <c r="K172">
        <v>7.33</v>
      </c>
      <c r="L172">
        <v>7.22</v>
      </c>
      <c r="M172">
        <v>7.22</v>
      </c>
      <c r="N172">
        <v>7.18</v>
      </c>
      <c r="O172">
        <v>7.16</v>
      </c>
      <c r="P172">
        <v>7.15</v>
      </c>
      <c r="Q172">
        <v>7.15</v>
      </c>
      <c r="R172">
        <v>7.03</v>
      </c>
      <c r="S172">
        <v>7.07</v>
      </c>
      <c r="T172">
        <v>7.07</v>
      </c>
      <c r="U172">
        <v>7.07</v>
      </c>
      <c r="V172">
        <v>6.99</v>
      </c>
      <c r="W172">
        <v>7.01</v>
      </c>
    </row>
    <row r="173" spans="1:23" x14ac:dyDescent="0.35">
      <c r="A173" s="2" t="s">
        <v>148</v>
      </c>
      <c r="B173">
        <v>13734.48</v>
      </c>
      <c r="C173">
        <v>13877.75</v>
      </c>
      <c r="D173">
        <v>14221.59</v>
      </c>
      <c r="E173">
        <v>14546.32</v>
      </c>
      <c r="F173">
        <v>14804.2</v>
      </c>
      <c r="G173">
        <v>14842.41</v>
      </c>
      <c r="H173">
        <v>14708.69</v>
      </c>
      <c r="I173">
        <v>14632.28</v>
      </c>
      <c r="J173">
        <v>14508.12</v>
      </c>
      <c r="K173">
        <v>14603.63</v>
      </c>
      <c r="L173">
        <v>14565.43</v>
      </c>
      <c r="M173">
        <v>14374.4</v>
      </c>
      <c r="N173">
        <v>14393.51</v>
      </c>
      <c r="O173">
        <v>14412.61</v>
      </c>
      <c r="P173">
        <v>14422.16</v>
      </c>
      <c r="Q173">
        <v>14431.71</v>
      </c>
      <c r="R173">
        <v>14269.34</v>
      </c>
      <c r="S173">
        <v>14221.59</v>
      </c>
      <c r="T173">
        <v>14527.22</v>
      </c>
      <c r="U173">
        <v>14565.43</v>
      </c>
      <c r="V173">
        <v>14498.57</v>
      </c>
      <c r="W173">
        <v>14565.43</v>
      </c>
    </row>
    <row r="174" spans="1:23" x14ac:dyDescent="0.35">
      <c r="A174" s="2" t="s">
        <v>149</v>
      </c>
      <c r="B174">
        <v>2470.8200000000002</v>
      </c>
      <c r="C174">
        <v>2447.83</v>
      </c>
      <c r="D174">
        <v>2436.34</v>
      </c>
      <c r="E174">
        <v>2518.2199999999998</v>
      </c>
      <c r="F174">
        <v>2562.75</v>
      </c>
      <c r="G174">
        <v>2621.65</v>
      </c>
      <c r="H174">
        <v>2569.94</v>
      </c>
      <c r="I174">
        <v>2614.4699999999998</v>
      </c>
      <c r="J174">
        <v>2617.34</v>
      </c>
      <c r="K174">
        <v>2673.37</v>
      </c>
      <c r="L174">
        <v>2600.1</v>
      </c>
      <c r="M174">
        <v>2512.4699999999998</v>
      </c>
      <c r="N174">
        <v>2536.9</v>
      </c>
      <c r="O174">
        <v>2541.21</v>
      </c>
      <c r="P174">
        <v>2568.5</v>
      </c>
      <c r="Q174">
        <v>2615.9</v>
      </c>
      <c r="R174">
        <v>2604.41</v>
      </c>
      <c r="S174">
        <v>2656.13</v>
      </c>
      <c r="T174">
        <v>2957.8</v>
      </c>
      <c r="U174">
        <v>2913.26</v>
      </c>
      <c r="V174">
        <v>2716.46</v>
      </c>
      <c r="W174">
        <v>2758.12</v>
      </c>
    </row>
    <row r="175" spans="1:23" x14ac:dyDescent="0.35">
      <c r="A175" s="2" t="s">
        <v>150</v>
      </c>
      <c r="B175">
        <v>105.42</v>
      </c>
      <c r="C175">
        <v>105.12</v>
      </c>
      <c r="D175">
        <v>106.09</v>
      </c>
      <c r="E175">
        <v>105.85</v>
      </c>
      <c r="F175">
        <v>105.12</v>
      </c>
      <c r="G175">
        <v>104.58</v>
      </c>
      <c r="H175">
        <v>106.09</v>
      </c>
      <c r="I175">
        <v>108.45</v>
      </c>
      <c r="J175">
        <v>107.91</v>
      </c>
      <c r="K175">
        <v>108.51</v>
      </c>
      <c r="L175">
        <v>108.09</v>
      </c>
      <c r="M175">
        <v>107.91</v>
      </c>
      <c r="N175">
        <v>107.91</v>
      </c>
      <c r="O175">
        <v>107.85</v>
      </c>
      <c r="P175">
        <v>109.3</v>
      </c>
      <c r="Q175">
        <v>111.85</v>
      </c>
      <c r="R175">
        <v>111.24</v>
      </c>
      <c r="S175">
        <v>114.21</v>
      </c>
      <c r="T175">
        <v>116.27</v>
      </c>
      <c r="U175">
        <v>119.72</v>
      </c>
      <c r="V175">
        <v>127.36</v>
      </c>
      <c r="W175">
        <v>130.02000000000001</v>
      </c>
    </row>
    <row r="176" spans="1:23" x14ac:dyDescent="0.35">
      <c r="A176" s="2" t="s">
        <v>151</v>
      </c>
      <c r="B176">
        <v>23.38</v>
      </c>
      <c r="C176">
        <v>23.46</v>
      </c>
      <c r="D176">
        <v>23.66</v>
      </c>
      <c r="E176">
        <v>23.42</v>
      </c>
      <c r="F176">
        <v>23.37</v>
      </c>
      <c r="G176">
        <v>23.17</v>
      </c>
      <c r="H176">
        <v>23.98</v>
      </c>
      <c r="I176">
        <v>25.11</v>
      </c>
      <c r="J176">
        <v>25.43</v>
      </c>
      <c r="K176">
        <v>25.56</v>
      </c>
      <c r="L176">
        <v>25.76</v>
      </c>
      <c r="M176">
        <v>25.89</v>
      </c>
      <c r="N176">
        <v>25.99</v>
      </c>
      <c r="O176">
        <v>26.24</v>
      </c>
      <c r="P176">
        <v>26.83</v>
      </c>
      <c r="Q176">
        <v>27.54</v>
      </c>
      <c r="R176">
        <v>28.14</v>
      </c>
      <c r="S176">
        <v>30.1</v>
      </c>
      <c r="T176">
        <v>31.71</v>
      </c>
      <c r="U176">
        <v>33.01</v>
      </c>
      <c r="V176">
        <v>35.67</v>
      </c>
      <c r="W176">
        <v>36.549999999999997</v>
      </c>
    </row>
    <row r="177" spans="1:23" x14ac:dyDescent="0.35">
      <c r="A177" s="2" t="s">
        <v>152</v>
      </c>
      <c r="B177">
        <v>17.989999999999998</v>
      </c>
      <c r="C177">
        <v>17.77</v>
      </c>
      <c r="D177">
        <v>17.86</v>
      </c>
      <c r="E177">
        <v>17.809999999999999</v>
      </c>
      <c r="F177">
        <v>17.61</v>
      </c>
      <c r="G177">
        <v>17.71</v>
      </c>
      <c r="H177">
        <v>17.93</v>
      </c>
      <c r="I177">
        <v>18.02</v>
      </c>
      <c r="J177">
        <v>18.18</v>
      </c>
      <c r="K177">
        <v>18.59</v>
      </c>
      <c r="L177">
        <v>18.82</v>
      </c>
      <c r="M177">
        <v>19.2</v>
      </c>
      <c r="N177">
        <v>19.100000000000001</v>
      </c>
      <c r="O177">
        <v>18.649999999999999</v>
      </c>
      <c r="P177">
        <v>18.75</v>
      </c>
      <c r="Q177">
        <v>19.100000000000001</v>
      </c>
      <c r="R177">
        <v>18.72</v>
      </c>
      <c r="S177">
        <v>19.86</v>
      </c>
      <c r="T177">
        <v>19.79</v>
      </c>
      <c r="U177">
        <v>19.899999999999999</v>
      </c>
      <c r="V177">
        <v>20.77</v>
      </c>
      <c r="W177">
        <v>20.94</v>
      </c>
    </row>
    <row r="178" spans="1:23" x14ac:dyDescent="0.35">
      <c r="A178" s="2" t="s">
        <v>153</v>
      </c>
      <c r="B178">
        <v>33.44</v>
      </c>
      <c r="C178">
        <v>33.229999999999997</v>
      </c>
      <c r="D178">
        <v>35.39</v>
      </c>
      <c r="E178">
        <v>37.89</v>
      </c>
      <c r="F178">
        <v>45.19</v>
      </c>
      <c r="G178">
        <v>50.47</v>
      </c>
      <c r="H178">
        <v>56.76</v>
      </c>
      <c r="I178">
        <v>56.76</v>
      </c>
      <c r="J178">
        <v>55.49</v>
      </c>
      <c r="K178">
        <v>57.75</v>
      </c>
      <c r="L178">
        <v>56.39</v>
      </c>
      <c r="M178">
        <v>49.03</v>
      </c>
      <c r="N178">
        <v>35.96</v>
      </c>
      <c r="O178">
        <v>28.44</v>
      </c>
      <c r="P178">
        <v>26.33</v>
      </c>
      <c r="Q178">
        <v>30.58</v>
      </c>
      <c r="R178">
        <v>37.01</v>
      </c>
      <c r="S178">
        <v>39.79</v>
      </c>
      <c r="T178">
        <v>43.11</v>
      </c>
      <c r="U178">
        <v>43.12</v>
      </c>
      <c r="V178">
        <v>41.33</v>
      </c>
      <c r="W178">
        <v>40.85</v>
      </c>
    </row>
    <row r="179" spans="1:23" x14ac:dyDescent="0.35">
      <c r="A179" s="2" t="s">
        <v>154</v>
      </c>
      <c r="B179">
        <v>18.11</v>
      </c>
      <c r="C179">
        <v>14.53</v>
      </c>
      <c r="D179">
        <v>9.17</v>
      </c>
      <c r="E179">
        <v>8.6999999999999993</v>
      </c>
      <c r="F179">
        <v>11.17</v>
      </c>
      <c r="G179">
        <v>15.56</v>
      </c>
      <c r="H179">
        <v>16.55</v>
      </c>
      <c r="I179">
        <v>20.079999999999998</v>
      </c>
      <c r="J179">
        <v>17.329999999999998</v>
      </c>
      <c r="K179">
        <v>18.72</v>
      </c>
      <c r="L179">
        <v>11.54</v>
      </c>
      <c r="M179">
        <v>7.51</v>
      </c>
      <c r="N179">
        <v>7</v>
      </c>
      <c r="O179">
        <v>6.91</v>
      </c>
      <c r="P179">
        <v>6.28</v>
      </c>
      <c r="Q179">
        <v>6.99</v>
      </c>
      <c r="R179">
        <v>7.93</v>
      </c>
      <c r="S179">
        <v>8.1300000000000008</v>
      </c>
      <c r="T179">
        <v>12.56</v>
      </c>
      <c r="U179">
        <v>14.84</v>
      </c>
      <c r="V179">
        <v>11.85</v>
      </c>
      <c r="W179">
        <v>13.82</v>
      </c>
    </row>
    <row r="180" spans="1:23" x14ac:dyDescent="0.35">
      <c r="A180" s="2" t="s">
        <v>155</v>
      </c>
      <c r="B180">
        <v>2.62</v>
      </c>
      <c r="C180">
        <v>2.4</v>
      </c>
      <c r="D180">
        <v>2.19</v>
      </c>
      <c r="E180">
        <v>2.54</v>
      </c>
      <c r="F180">
        <v>2.42</v>
      </c>
      <c r="G180">
        <v>2.66</v>
      </c>
      <c r="H180">
        <v>3.08</v>
      </c>
      <c r="I180">
        <v>3.49</v>
      </c>
      <c r="J180">
        <v>3.65</v>
      </c>
      <c r="K180">
        <v>3.69</v>
      </c>
      <c r="L180">
        <v>3.46</v>
      </c>
      <c r="M180">
        <v>2.39</v>
      </c>
      <c r="N180">
        <v>2.04</v>
      </c>
      <c r="O180">
        <v>1.9</v>
      </c>
      <c r="P180">
        <v>2</v>
      </c>
      <c r="Q180">
        <v>2.04</v>
      </c>
      <c r="R180">
        <v>2.16</v>
      </c>
      <c r="S180">
        <v>2.63</v>
      </c>
      <c r="T180">
        <v>3.22</v>
      </c>
      <c r="U180">
        <v>3.11</v>
      </c>
      <c r="V180">
        <v>2.72</v>
      </c>
      <c r="W180">
        <v>2.63</v>
      </c>
    </row>
    <row r="181" spans="1:23" x14ac:dyDescent="0.35">
      <c r="A181" s="2" t="s">
        <v>156</v>
      </c>
      <c r="B181">
        <v>0.36</v>
      </c>
      <c r="C181">
        <v>0.46</v>
      </c>
      <c r="D181">
        <v>0.42</v>
      </c>
      <c r="E181">
        <v>0.28999999999999998</v>
      </c>
      <c r="F181">
        <v>0.19</v>
      </c>
      <c r="G181">
        <v>0.18</v>
      </c>
      <c r="H181">
        <v>0.18</v>
      </c>
      <c r="I181">
        <v>0.22</v>
      </c>
      <c r="J181">
        <v>0.2</v>
      </c>
      <c r="K181">
        <v>0.19</v>
      </c>
      <c r="L181">
        <v>0.17</v>
      </c>
      <c r="M181">
        <v>0.19</v>
      </c>
      <c r="N181">
        <v>0.32</v>
      </c>
      <c r="O181">
        <v>0.4</v>
      </c>
      <c r="P181">
        <v>0.35</v>
      </c>
      <c r="Q181">
        <v>0.28000000000000003</v>
      </c>
      <c r="R181">
        <v>0.2</v>
      </c>
      <c r="S181">
        <v>0.19</v>
      </c>
      <c r="T181">
        <v>0.22</v>
      </c>
      <c r="U181">
        <v>0.17</v>
      </c>
      <c r="V181">
        <v>0.15</v>
      </c>
      <c r="W181">
        <v>0.19</v>
      </c>
    </row>
    <row r="182" spans="1:23" x14ac:dyDescent="0.35">
      <c r="A182" s="2" t="s">
        <v>157</v>
      </c>
      <c r="B182">
        <v>0</v>
      </c>
      <c r="C182">
        <v>0</v>
      </c>
      <c r="D182">
        <v>0</v>
      </c>
      <c r="E182">
        <v>111.8</v>
      </c>
      <c r="F182">
        <v>89.04</v>
      </c>
      <c r="G182">
        <v>82.06</v>
      </c>
      <c r="H182">
        <v>92.51</v>
      </c>
      <c r="I182">
        <v>117.46</v>
      </c>
      <c r="J182">
        <v>0</v>
      </c>
      <c r="K182">
        <v>0</v>
      </c>
      <c r="L182">
        <v>0</v>
      </c>
      <c r="M182">
        <v>0</v>
      </c>
      <c r="N182">
        <v>0</v>
      </c>
      <c r="O182">
        <v>0</v>
      </c>
      <c r="P182">
        <v>0</v>
      </c>
      <c r="Q182">
        <v>101.45</v>
      </c>
      <c r="R182">
        <v>84.71</v>
      </c>
      <c r="S182">
        <v>68.7</v>
      </c>
      <c r="T182">
        <v>65.09</v>
      </c>
      <c r="U182">
        <v>77.41</v>
      </c>
      <c r="V182">
        <v>0</v>
      </c>
      <c r="W182">
        <v>0</v>
      </c>
    </row>
    <row r="183" spans="1:23" x14ac:dyDescent="0.35">
      <c r="A183" s="2" t="s">
        <v>158</v>
      </c>
      <c r="B183">
        <v>3.19</v>
      </c>
      <c r="C183">
        <v>3.26</v>
      </c>
      <c r="D183">
        <v>3.8</v>
      </c>
      <c r="E183">
        <v>4.41</v>
      </c>
      <c r="F183">
        <v>4.12</v>
      </c>
      <c r="G183">
        <v>4.08</v>
      </c>
      <c r="H183">
        <v>3.9</v>
      </c>
      <c r="I183">
        <v>4.46</v>
      </c>
      <c r="J183">
        <v>4.54</v>
      </c>
      <c r="K183">
        <v>3.7</v>
      </c>
      <c r="L183">
        <v>3.38</v>
      </c>
      <c r="M183">
        <v>3.57</v>
      </c>
      <c r="N183">
        <v>3.71</v>
      </c>
      <c r="O183">
        <v>3.89</v>
      </c>
      <c r="P183">
        <v>3.82</v>
      </c>
      <c r="Q183">
        <v>4.5199999999999996</v>
      </c>
      <c r="R183">
        <v>4.6900000000000004</v>
      </c>
      <c r="S183">
        <v>4.6399999999999997</v>
      </c>
      <c r="T183">
        <v>4.6500000000000004</v>
      </c>
      <c r="U183">
        <v>4.8600000000000003</v>
      </c>
      <c r="V183">
        <v>5.03</v>
      </c>
      <c r="W183">
        <v>4.47</v>
      </c>
    </row>
    <row r="184" spans="1:23" x14ac:dyDescent="0.35">
      <c r="A184" s="2" t="s">
        <v>159</v>
      </c>
      <c r="B184">
        <v>375.9</v>
      </c>
      <c r="C184">
        <v>379.76</v>
      </c>
      <c r="D184">
        <v>384.98</v>
      </c>
      <c r="E184">
        <v>384.98</v>
      </c>
      <c r="F184">
        <v>394.06</v>
      </c>
      <c r="G184">
        <v>397.91</v>
      </c>
      <c r="H184">
        <v>392.92</v>
      </c>
      <c r="I184">
        <v>388.61</v>
      </c>
      <c r="J184">
        <v>388.83</v>
      </c>
      <c r="K184">
        <v>380.89</v>
      </c>
      <c r="L184">
        <v>378.62</v>
      </c>
      <c r="M184">
        <v>379.07</v>
      </c>
      <c r="N184">
        <v>385.88</v>
      </c>
      <c r="O184">
        <v>385.43</v>
      </c>
      <c r="P184">
        <v>390.2</v>
      </c>
      <c r="Q184">
        <v>388.38</v>
      </c>
      <c r="R184">
        <v>402.23</v>
      </c>
      <c r="S184">
        <v>408.58</v>
      </c>
      <c r="T184">
        <v>400.64</v>
      </c>
      <c r="U184">
        <v>395.87</v>
      </c>
      <c r="V184">
        <v>395.42</v>
      </c>
      <c r="W184">
        <v>390.2</v>
      </c>
    </row>
    <row r="185" spans="1:23" x14ac:dyDescent="0.35">
      <c r="A185" s="2" t="s">
        <v>160</v>
      </c>
      <c r="B185">
        <v>84.23</v>
      </c>
      <c r="C185">
        <v>84.38</v>
      </c>
      <c r="D185">
        <v>84.59</v>
      </c>
      <c r="E185">
        <v>83.56</v>
      </c>
      <c r="F185">
        <v>83.61</v>
      </c>
      <c r="G185">
        <v>84.17</v>
      </c>
      <c r="H185">
        <v>86.28</v>
      </c>
      <c r="I185">
        <v>87.52</v>
      </c>
      <c r="J185">
        <v>87.62</v>
      </c>
      <c r="K185">
        <v>89.01</v>
      </c>
      <c r="L185">
        <v>89.47</v>
      </c>
      <c r="M185">
        <v>89.73</v>
      </c>
      <c r="N185">
        <v>89.78</v>
      </c>
      <c r="O185">
        <v>89.83</v>
      </c>
      <c r="P185">
        <v>88.91</v>
      </c>
      <c r="Q185">
        <v>86.69</v>
      </c>
      <c r="R185">
        <v>87.83</v>
      </c>
      <c r="S185">
        <v>88.55</v>
      </c>
      <c r="T185">
        <v>89.57</v>
      </c>
      <c r="U185">
        <v>89.68</v>
      </c>
      <c r="V185">
        <v>87.98</v>
      </c>
      <c r="W185">
        <v>87</v>
      </c>
    </row>
    <row r="186" spans="1:23" x14ac:dyDescent="0.35">
      <c r="A186" s="2" t="s">
        <v>161</v>
      </c>
      <c r="B186">
        <v>72.75</v>
      </c>
      <c r="C186">
        <v>73.08</v>
      </c>
      <c r="D186">
        <v>73.08</v>
      </c>
      <c r="E186">
        <v>73.08</v>
      </c>
      <c r="F186">
        <v>73.08</v>
      </c>
      <c r="G186">
        <v>73.08</v>
      </c>
      <c r="H186">
        <v>75.14</v>
      </c>
      <c r="I186">
        <v>75.94</v>
      </c>
      <c r="J186">
        <v>76.2</v>
      </c>
      <c r="K186">
        <v>77.959999999999994</v>
      </c>
      <c r="L186">
        <v>77.540000000000006</v>
      </c>
      <c r="M186">
        <v>77.709999999999994</v>
      </c>
      <c r="N186">
        <v>78.760000000000005</v>
      </c>
      <c r="O186">
        <v>79.349999999999994</v>
      </c>
      <c r="P186">
        <v>80.150000000000006</v>
      </c>
      <c r="Q186">
        <v>80.319999999999993</v>
      </c>
      <c r="R186">
        <v>80.489999999999995</v>
      </c>
      <c r="S186">
        <v>80.489999999999995</v>
      </c>
      <c r="T186">
        <v>80.36</v>
      </c>
      <c r="U186">
        <v>80.03</v>
      </c>
      <c r="V186">
        <v>80.319999999999993</v>
      </c>
      <c r="W186">
        <v>79.52</v>
      </c>
    </row>
    <row r="187" spans="1:23" x14ac:dyDescent="0.35">
      <c r="A187" s="2" t="s">
        <v>162</v>
      </c>
      <c r="B187">
        <v>25.25</v>
      </c>
      <c r="C187">
        <v>25.04</v>
      </c>
      <c r="D187">
        <v>24.28</v>
      </c>
      <c r="E187">
        <v>24.4</v>
      </c>
      <c r="F187">
        <v>24.2</v>
      </c>
      <c r="G187">
        <v>24.36</v>
      </c>
      <c r="H187">
        <v>25.07</v>
      </c>
      <c r="I187">
        <v>24.28</v>
      </c>
      <c r="J187">
        <v>24.2</v>
      </c>
      <c r="K187">
        <v>24.15</v>
      </c>
      <c r="L187">
        <v>24.42</v>
      </c>
      <c r="M187">
        <v>24.78</v>
      </c>
      <c r="N187">
        <v>24.28</v>
      </c>
      <c r="O187">
        <v>24.75</v>
      </c>
      <c r="P187">
        <v>25.12</v>
      </c>
      <c r="Q187">
        <v>25.56</v>
      </c>
      <c r="R187">
        <v>25.42</v>
      </c>
      <c r="S187">
        <v>25.87</v>
      </c>
      <c r="T187">
        <v>26.17</v>
      </c>
      <c r="U187">
        <v>25.76</v>
      </c>
      <c r="V187">
        <v>26.39</v>
      </c>
      <c r="W187">
        <v>26.23</v>
      </c>
    </row>
    <row r="188" spans="1:23" x14ac:dyDescent="0.35">
      <c r="A188" s="2" t="s">
        <v>163</v>
      </c>
      <c r="B188">
        <v>78</v>
      </c>
      <c r="C188">
        <v>80.98</v>
      </c>
      <c r="D188">
        <v>91.1</v>
      </c>
      <c r="E188">
        <v>87.25</v>
      </c>
      <c r="F188">
        <v>93.06</v>
      </c>
      <c r="G188">
        <v>91.87</v>
      </c>
      <c r="H188">
        <v>84.06</v>
      </c>
      <c r="I188">
        <v>81.290000000000006</v>
      </c>
      <c r="J188">
        <v>85.76</v>
      </c>
      <c r="K188">
        <v>80.47</v>
      </c>
      <c r="L188">
        <v>73.12</v>
      </c>
      <c r="M188">
        <v>72.760000000000005</v>
      </c>
      <c r="N188">
        <v>74.87</v>
      </c>
      <c r="O188">
        <v>74.760000000000005</v>
      </c>
      <c r="P188">
        <v>79.7</v>
      </c>
      <c r="Q188">
        <v>78.819999999999993</v>
      </c>
      <c r="R188">
        <v>84.27</v>
      </c>
      <c r="S188">
        <v>86.07</v>
      </c>
      <c r="T188">
        <v>81.75</v>
      </c>
      <c r="U188">
        <v>82.57</v>
      </c>
      <c r="V188">
        <v>85.19</v>
      </c>
      <c r="W188">
        <v>82.68</v>
      </c>
    </row>
    <row r="189" spans="1:23" x14ac:dyDescent="0.35">
      <c r="A189" s="2" t="s">
        <v>164</v>
      </c>
      <c r="B189">
        <v>15.53</v>
      </c>
      <c r="C189">
        <v>15.63</v>
      </c>
      <c r="D189">
        <v>15.65</v>
      </c>
      <c r="E189">
        <v>15.64</v>
      </c>
      <c r="F189">
        <v>15.51</v>
      </c>
      <c r="G189">
        <v>15.23</v>
      </c>
      <c r="H189">
        <v>14.87</v>
      </c>
      <c r="I189">
        <v>14.45</v>
      </c>
      <c r="J189">
        <v>14.85</v>
      </c>
      <c r="K189">
        <v>14.71</v>
      </c>
      <c r="L189">
        <v>13.93</v>
      </c>
      <c r="M189">
        <v>13.82</v>
      </c>
      <c r="N189">
        <v>13.81</v>
      </c>
      <c r="O189">
        <v>13.79</v>
      </c>
      <c r="P189">
        <v>13.72</v>
      </c>
      <c r="Q189">
        <v>13.8</v>
      </c>
      <c r="R189">
        <v>13.68</v>
      </c>
      <c r="S189">
        <v>13.18</v>
      </c>
      <c r="T189">
        <v>13.4</v>
      </c>
      <c r="U189">
        <v>13.33</v>
      </c>
      <c r="V189">
        <v>12.66</v>
      </c>
      <c r="W189">
        <v>12.09</v>
      </c>
    </row>
    <row r="190" spans="1:23" x14ac:dyDescent="0.35">
      <c r="A190" s="2" t="s">
        <v>165</v>
      </c>
      <c r="B190">
        <v>14.85</v>
      </c>
      <c r="C190">
        <v>15.95</v>
      </c>
      <c r="D190">
        <v>16.55</v>
      </c>
      <c r="E190">
        <v>16.34</v>
      </c>
      <c r="F190">
        <v>16.649999999999999</v>
      </c>
      <c r="G190">
        <v>16.8</v>
      </c>
      <c r="H190">
        <v>16.64</v>
      </c>
      <c r="I190">
        <v>16.57</v>
      </c>
      <c r="J190">
        <v>16.55</v>
      </c>
      <c r="K190">
        <v>16.34</v>
      </c>
      <c r="L190">
        <v>16.55</v>
      </c>
      <c r="M190">
        <v>16.27</v>
      </c>
      <c r="N190">
        <v>16.07</v>
      </c>
      <c r="O190">
        <v>15.43</v>
      </c>
      <c r="P190">
        <v>14.34</v>
      </c>
      <c r="Q190">
        <v>13.82</v>
      </c>
      <c r="R190">
        <v>13.21</v>
      </c>
      <c r="S190">
        <v>12.7</v>
      </c>
      <c r="T190">
        <v>13.74</v>
      </c>
      <c r="U190">
        <v>14.13</v>
      </c>
      <c r="V190">
        <v>13.86</v>
      </c>
      <c r="W190">
        <v>13.4</v>
      </c>
    </row>
    <row r="191" spans="1:23" x14ac:dyDescent="0.35">
      <c r="A191" s="2" t="s">
        <v>166</v>
      </c>
      <c r="B191">
        <v>216.2</v>
      </c>
      <c r="C191">
        <v>217.96</v>
      </c>
      <c r="D191">
        <v>223.97</v>
      </c>
      <c r="E191">
        <v>225.03</v>
      </c>
      <c r="F191">
        <v>225.74</v>
      </c>
      <c r="G191">
        <v>227.33</v>
      </c>
      <c r="H191">
        <v>229.45</v>
      </c>
      <c r="I191">
        <v>229.45</v>
      </c>
      <c r="J191">
        <v>226.27</v>
      </c>
      <c r="K191">
        <v>225.39</v>
      </c>
      <c r="L191">
        <v>234.76</v>
      </c>
      <c r="M191">
        <v>239.35</v>
      </c>
      <c r="N191">
        <v>243.24</v>
      </c>
      <c r="O191">
        <v>238.65</v>
      </c>
      <c r="P191">
        <v>239</v>
      </c>
      <c r="Q191">
        <v>239.71</v>
      </c>
      <c r="R191">
        <v>235.99</v>
      </c>
      <c r="S191">
        <v>234.05</v>
      </c>
      <c r="T191">
        <v>238.65</v>
      </c>
      <c r="U191">
        <v>239.35</v>
      </c>
      <c r="V191">
        <v>243.77</v>
      </c>
      <c r="W191">
        <v>245.36</v>
      </c>
    </row>
    <row r="192" spans="1:23" x14ac:dyDescent="0.35">
      <c r="A192" s="2" t="s">
        <v>167</v>
      </c>
      <c r="B192">
        <v>1.7</v>
      </c>
      <c r="C192">
        <v>1.7</v>
      </c>
      <c r="D192">
        <v>1.7</v>
      </c>
      <c r="E192">
        <v>1.63</v>
      </c>
      <c r="F192">
        <v>1.72</v>
      </c>
      <c r="G192">
        <v>1.51</v>
      </c>
      <c r="H192">
        <v>1.51</v>
      </c>
      <c r="I192">
        <v>1.51</v>
      </c>
      <c r="J192">
        <v>1.51</v>
      </c>
      <c r="K192">
        <v>1.51</v>
      </c>
      <c r="L192">
        <v>1.54</v>
      </c>
      <c r="M192">
        <v>1.94</v>
      </c>
      <c r="N192">
        <v>1.71</v>
      </c>
      <c r="O192">
        <v>1.78</v>
      </c>
      <c r="P192">
        <v>1.72</v>
      </c>
      <c r="Q192">
        <v>1.72</v>
      </c>
      <c r="R192">
        <v>1.73</v>
      </c>
      <c r="S192">
        <v>1.78</v>
      </c>
      <c r="T192">
        <v>1.79</v>
      </c>
      <c r="U192">
        <v>1.81</v>
      </c>
      <c r="V192">
        <v>1.81</v>
      </c>
      <c r="W192">
        <v>1.8</v>
      </c>
    </row>
    <row r="193" spans="1:23" x14ac:dyDescent="0.35">
      <c r="A193" s="2" t="s">
        <v>168</v>
      </c>
      <c r="B193">
        <v>27.08</v>
      </c>
      <c r="C193">
        <v>27.35</v>
      </c>
      <c r="D193">
        <v>28.82</v>
      </c>
      <c r="E193">
        <v>29.11</v>
      </c>
      <c r="F193">
        <v>30.45</v>
      </c>
      <c r="G193">
        <v>26.97</v>
      </c>
      <c r="H193">
        <v>23.29</v>
      </c>
      <c r="I193">
        <v>22.27</v>
      </c>
      <c r="J193">
        <v>21.98</v>
      </c>
      <c r="K193">
        <v>20.92</v>
      </c>
      <c r="L193">
        <v>20.18</v>
      </c>
      <c r="M193">
        <v>20.28</v>
      </c>
      <c r="N193">
        <v>22.17</v>
      </c>
      <c r="O193">
        <v>23.85</v>
      </c>
      <c r="P193">
        <v>24.88</v>
      </c>
      <c r="Q193">
        <v>25.48</v>
      </c>
      <c r="R193">
        <v>25.23</v>
      </c>
      <c r="S193">
        <v>24.09</v>
      </c>
      <c r="T193">
        <v>23.31</v>
      </c>
      <c r="U193">
        <v>22.54</v>
      </c>
      <c r="V193">
        <v>22.15</v>
      </c>
      <c r="W193">
        <v>23.2</v>
      </c>
    </row>
    <row r="194" spans="1:23" x14ac:dyDescent="0.35">
      <c r="A194" s="2" t="s">
        <v>169</v>
      </c>
      <c r="B194">
        <v>21.55</v>
      </c>
      <c r="C194">
        <v>21.55</v>
      </c>
      <c r="D194">
        <v>22.46</v>
      </c>
      <c r="E194">
        <v>22.6</v>
      </c>
      <c r="F194">
        <v>22.6</v>
      </c>
      <c r="G194">
        <v>23.95</v>
      </c>
      <c r="H194">
        <v>25.8</v>
      </c>
      <c r="I194">
        <v>25.8</v>
      </c>
      <c r="J194">
        <v>25.8</v>
      </c>
      <c r="K194">
        <v>25.8</v>
      </c>
      <c r="L194">
        <v>26.87</v>
      </c>
      <c r="M194">
        <v>26.87</v>
      </c>
      <c r="N194">
        <v>27.76</v>
      </c>
      <c r="O194">
        <v>27.76</v>
      </c>
      <c r="P194">
        <v>27.76</v>
      </c>
      <c r="Q194">
        <v>27.76</v>
      </c>
      <c r="R194">
        <v>26.63</v>
      </c>
      <c r="S194">
        <v>27.76</v>
      </c>
      <c r="T194">
        <v>27.76</v>
      </c>
      <c r="U194">
        <v>28.07</v>
      </c>
      <c r="V194">
        <v>32.54</v>
      </c>
      <c r="W194">
        <v>30.73</v>
      </c>
    </row>
    <row r="195" spans="1:23" x14ac:dyDescent="0.35">
      <c r="A195" s="2" t="s">
        <v>170</v>
      </c>
      <c r="B195">
        <v>0.43</v>
      </c>
      <c r="C195">
        <v>0.54</v>
      </c>
      <c r="D195">
        <v>0.48</v>
      </c>
      <c r="E195">
        <v>0.5</v>
      </c>
      <c r="F195">
        <v>0.5</v>
      </c>
      <c r="G195">
        <v>0.56000000000000005</v>
      </c>
      <c r="H195">
        <v>0.56000000000000005</v>
      </c>
      <c r="I195">
        <v>0.48</v>
      </c>
      <c r="J195">
        <v>0.48</v>
      </c>
      <c r="K195">
        <v>0.43</v>
      </c>
      <c r="L195">
        <v>0.36</v>
      </c>
      <c r="M195">
        <v>0.45</v>
      </c>
      <c r="N195">
        <v>0.42</v>
      </c>
      <c r="O195">
        <v>0.44</v>
      </c>
      <c r="P195">
        <v>0.46</v>
      </c>
      <c r="Q195">
        <v>0.56000000000000005</v>
      </c>
      <c r="R195">
        <v>0.47</v>
      </c>
      <c r="S195">
        <v>0.46</v>
      </c>
      <c r="T195">
        <v>0.53</v>
      </c>
      <c r="U195">
        <v>0.55000000000000004</v>
      </c>
      <c r="V195">
        <v>0.5</v>
      </c>
      <c r="W195">
        <v>0.48</v>
      </c>
    </row>
    <row r="196" spans="1:23" x14ac:dyDescent="0.35">
      <c r="A196" s="2" t="s">
        <v>171</v>
      </c>
      <c r="B196">
        <v>57</v>
      </c>
      <c r="C196">
        <v>46.55</v>
      </c>
      <c r="D196">
        <v>46.59</v>
      </c>
      <c r="E196">
        <v>75.05</v>
      </c>
      <c r="F196">
        <v>75.09</v>
      </c>
      <c r="G196">
        <v>81.2</v>
      </c>
      <c r="H196">
        <v>81.93</v>
      </c>
      <c r="I196">
        <v>83.05</v>
      </c>
      <c r="J196">
        <v>82.92</v>
      </c>
      <c r="K196">
        <v>107.89</v>
      </c>
      <c r="L196">
        <v>112.75</v>
      </c>
      <c r="M196">
        <v>111.63</v>
      </c>
      <c r="N196">
        <v>111.29</v>
      </c>
      <c r="O196">
        <v>110.73</v>
      </c>
      <c r="P196">
        <v>111.11</v>
      </c>
      <c r="Q196">
        <v>105.4</v>
      </c>
      <c r="R196">
        <v>104.19</v>
      </c>
      <c r="S196">
        <v>98.69</v>
      </c>
      <c r="T196">
        <v>97.53</v>
      </c>
      <c r="U196">
        <v>100.24</v>
      </c>
      <c r="V196">
        <v>107.46</v>
      </c>
      <c r="W196">
        <v>113.13</v>
      </c>
    </row>
    <row r="197" spans="1:23" x14ac:dyDescent="0.35">
      <c r="A197" s="2" t="s">
        <v>172</v>
      </c>
      <c r="B197">
        <v>92.78</v>
      </c>
      <c r="C197">
        <v>92.78</v>
      </c>
      <c r="D197">
        <v>92.78</v>
      </c>
      <c r="E197">
        <v>92.78</v>
      </c>
      <c r="F197">
        <v>92.78</v>
      </c>
      <c r="G197">
        <v>92.78</v>
      </c>
      <c r="H197">
        <v>92.78</v>
      </c>
      <c r="I197">
        <v>92.78</v>
      </c>
      <c r="J197">
        <v>92.78</v>
      </c>
      <c r="K197">
        <v>92.78</v>
      </c>
      <c r="L197">
        <v>92.78</v>
      </c>
      <c r="M197">
        <v>92.78</v>
      </c>
      <c r="N197">
        <v>92.78</v>
      </c>
      <c r="O197">
        <v>92.78</v>
      </c>
      <c r="P197">
        <v>92.78</v>
      </c>
      <c r="Q197">
        <v>92.78</v>
      </c>
      <c r="R197">
        <v>92.78</v>
      </c>
      <c r="S197">
        <v>92.78</v>
      </c>
      <c r="T197">
        <v>92.78</v>
      </c>
      <c r="U197">
        <v>92.78</v>
      </c>
      <c r="V197">
        <v>92.78</v>
      </c>
      <c r="W197">
        <v>92.78</v>
      </c>
    </row>
    <row r="198" spans="1:23" x14ac:dyDescent="0.35">
      <c r="A198" s="2" t="s">
        <v>173</v>
      </c>
      <c r="B198">
        <v>166.5</v>
      </c>
      <c r="C198">
        <v>166.5</v>
      </c>
      <c r="D198">
        <v>166.5</v>
      </c>
      <c r="E198">
        <v>166.5</v>
      </c>
      <c r="F198">
        <v>166.5</v>
      </c>
      <c r="G198">
        <v>166.5</v>
      </c>
      <c r="H198">
        <v>166.5</v>
      </c>
      <c r="I198">
        <v>166.5</v>
      </c>
      <c r="J198">
        <v>166.5</v>
      </c>
      <c r="K198">
        <v>166.5</v>
      </c>
      <c r="L198">
        <v>166.5</v>
      </c>
      <c r="M198">
        <v>166.5</v>
      </c>
      <c r="N198">
        <v>166.5</v>
      </c>
      <c r="O198">
        <v>166.5</v>
      </c>
      <c r="P198">
        <v>166.5</v>
      </c>
      <c r="Q198">
        <v>166.5</v>
      </c>
      <c r="R198">
        <v>166.5</v>
      </c>
      <c r="S198">
        <v>174.84</v>
      </c>
      <c r="T198">
        <v>174.84</v>
      </c>
      <c r="U198">
        <v>174.84</v>
      </c>
      <c r="V198">
        <v>174.84</v>
      </c>
      <c r="W198">
        <v>174.84</v>
      </c>
    </row>
    <row r="199" spans="1:23" x14ac:dyDescent="0.35">
      <c r="A199" s="2" t="s">
        <v>174</v>
      </c>
      <c r="B199">
        <v>41.8</v>
      </c>
      <c r="C199">
        <v>41.8</v>
      </c>
      <c r="D199">
        <v>41.8</v>
      </c>
      <c r="E199">
        <v>41.8</v>
      </c>
      <c r="F199">
        <v>41.8</v>
      </c>
      <c r="G199">
        <v>41.8</v>
      </c>
      <c r="H199">
        <v>41.8</v>
      </c>
      <c r="I199">
        <v>41.8</v>
      </c>
      <c r="J199">
        <v>41.8</v>
      </c>
      <c r="K199">
        <v>41.8</v>
      </c>
      <c r="L199">
        <v>41.8</v>
      </c>
      <c r="M199">
        <v>41.8</v>
      </c>
      <c r="N199">
        <v>41.8</v>
      </c>
      <c r="O199">
        <v>41.8</v>
      </c>
      <c r="P199">
        <v>41.8</v>
      </c>
      <c r="Q199">
        <v>41.8</v>
      </c>
      <c r="R199">
        <v>41.8</v>
      </c>
      <c r="S199">
        <v>45.13</v>
      </c>
      <c r="T199">
        <v>45.13</v>
      </c>
      <c r="U199">
        <v>45.13</v>
      </c>
      <c r="V199">
        <v>45.13</v>
      </c>
      <c r="W199">
        <v>45.13</v>
      </c>
    </row>
    <row r="200" spans="1:23" x14ac:dyDescent="0.35">
      <c r="A200" s="2" t="s">
        <v>175</v>
      </c>
      <c r="B200">
        <v>17.68</v>
      </c>
      <c r="C200">
        <v>17.68</v>
      </c>
      <c r="D200">
        <v>17.68</v>
      </c>
      <c r="E200">
        <v>17.68</v>
      </c>
      <c r="F200">
        <v>17.68</v>
      </c>
      <c r="G200">
        <v>17.68</v>
      </c>
      <c r="H200">
        <v>17.68</v>
      </c>
      <c r="I200">
        <v>24.49</v>
      </c>
      <c r="J200">
        <v>24.47</v>
      </c>
      <c r="K200">
        <v>24.47</v>
      </c>
      <c r="L200">
        <v>24.47</v>
      </c>
      <c r="M200">
        <v>24.47</v>
      </c>
      <c r="N200">
        <v>24.47</v>
      </c>
      <c r="O200">
        <v>26.97</v>
      </c>
      <c r="P200">
        <v>25.99</v>
      </c>
      <c r="Q200">
        <v>26.88</v>
      </c>
      <c r="R200">
        <v>24.29</v>
      </c>
      <c r="S200">
        <v>23.26</v>
      </c>
      <c r="T200">
        <v>23.26</v>
      </c>
      <c r="U200">
        <v>23.26</v>
      </c>
      <c r="V200">
        <v>21.46</v>
      </c>
      <c r="W200">
        <v>21.46</v>
      </c>
    </row>
    <row r="201" spans="1:23" x14ac:dyDescent="0.35">
      <c r="A201" s="2" t="s">
        <v>176</v>
      </c>
      <c r="B201">
        <v>975.84</v>
      </c>
      <c r="C201">
        <v>1021.59</v>
      </c>
      <c r="D201">
        <v>1113.0999999999999</v>
      </c>
      <c r="E201">
        <v>1200.32</v>
      </c>
      <c r="F201">
        <v>1334.72</v>
      </c>
      <c r="G201">
        <v>1356.88</v>
      </c>
      <c r="H201">
        <v>1350.44</v>
      </c>
      <c r="I201">
        <v>1248.21</v>
      </c>
      <c r="J201">
        <v>1227.48</v>
      </c>
      <c r="K201">
        <v>1189.5899999999999</v>
      </c>
      <c r="L201">
        <v>1232.49</v>
      </c>
      <c r="M201">
        <v>1175.29</v>
      </c>
      <c r="N201">
        <v>1150.27</v>
      </c>
      <c r="O201">
        <v>1183.1600000000001</v>
      </c>
      <c r="P201">
        <v>1181.01</v>
      </c>
      <c r="Q201">
        <v>1140.98</v>
      </c>
      <c r="R201">
        <v>1118.0999999999999</v>
      </c>
      <c r="S201">
        <v>1092.3699999999999</v>
      </c>
      <c r="T201">
        <v>1085.22</v>
      </c>
      <c r="U201">
        <v>1126.68</v>
      </c>
      <c r="V201">
        <v>1170.29</v>
      </c>
      <c r="W201">
        <v>1183.8699999999999</v>
      </c>
    </row>
    <row r="202" spans="1:23" x14ac:dyDescent="0.35">
      <c r="A202" s="2" t="s">
        <v>177</v>
      </c>
      <c r="B202">
        <v>25.48</v>
      </c>
      <c r="C202">
        <v>27.9</v>
      </c>
      <c r="D202">
        <v>31.28</v>
      </c>
      <c r="E202">
        <v>31.95</v>
      </c>
      <c r="F202">
        <v>31.61</v>
      </c>
      <c r="G202">
        <v>29.72</v>
      </c>
      <c r="H202">
        <v>28.59</v>
      </c>
      <c r="I202">
        <v>26.72</v>
      </c>
      <c r="J202">
        <v>27.97</v>
      </c>
      <c r="K202">
        <v>27.59</v>
      </c>
      <c r="L202">
        <v>30.28</v>
      </c>
      <c r="M202">
        <v>31.39</v>
      </c>
      <c r="N202">
        <v>28.95</v>
      </c>
      <c r="O202">
        <v>27.66</v>
      </c>
      <c r="P202">
        <v>28.21</v>
      </c>
      <c r="Q202">
        <v>29.92</v>
      </c>
      <c r="R202">
        <v>30.3</v>
      </c>
      <c r="S202">
        <v>27.66</v>
      </c>
      <c r="T202">
        <v>25.21</v>
      </c>
      <c r="U202">
        <v>27.08</v>
      </c>
      <c r="V202">
        <v>28.3</v>
      </c>
      <c r="W202">
        <v>28.92</v>
      </c>
    </row>
    <row r="203" spans="1:23" x14ac:dyDescent="0.35">
      <c r="A203" s="2" t="s">
        <v>178</v>
      </c>
      <c r="B203">
        <v>44.71</v>
      </c>
      <c r="C203">
        <v>44.71</v>
      </c>
      <c r="D203">
        <v>44.71</v>
      </c>
      <c r="E203">
        <v>47.27</v>
      </c>
      <c r="F203">
        <v>47.27</v>
      </c>
      <c r="G203">
        <v>47.27</v>
      </c>
      <c r="H203">
        <v>48.56</v>
      </c>
      <c r="I203">
        <v>50.57</v>
      </c>
      <c r="J203">
        <v>50.57</v>
      </c>
      <c r="K203">
        <v>50.57</v>
      </c>
      <c r="L203">
        <v>50.57</v>
      </c>
      <c r="M203">
        <v>50.57</v>
      </c>
      <c r="N203">
        <v>50.57</v>
      </c>
      <c r="O203">
        <v>50.57</v>
      </c>
      <c r="P203">
        <v>50.57</v>
      </c>
      <c r="Q203">
        <v>50.57</v>
      </c>
      <c r="R203">
        <v>52.39</v>
      </c>
      <c r="S203">
        <v>52.39</v>
      </c>
      <c r="T203">
        <v>52.39</v>
      </c>
      <c r="U203">
        <v>52.39</v>
      </c>
      <c r="V203">
        <v>52.39</v>
      </c>
      <c r="W203">
        <v>52.39</v>
      </c>
    </row>
    <row r="204" spans="1:23" x14ac:dyDescent="0.35">
      <c r="A204" s="2" t="s">
        <v>812</v>
      </c>
      <c r="B204">
        <v>8514.43</v>
      </c>
      <c r="C204">
        <v>8619.92</v>
      </c>
      <c r="D204">
        <v>8830.92</v>
      </c>
      <c r="E204">
        <v>8979.86</v>
      </c>
      <c r="F204">
        <v>8998.48</v>
      </c>
      <c r="G204">
        <v>8930.2199999999993</v>
      </c>
      <c r="H204">
        <v>8886.7800000000007</v>
      </c>
      <c r="I204">
        <v>8886.7800000000007</v>
      </c>
      <c r="J204">
        <v>8824.7199999999993</v>
      </c>
      <c r="K204">
        <v>8806.1</v>
      </c>
      <c r="L204">
        <v>8768.8700000000008</v>
      </c>
      <c r="M204">
        <v>8756.4500000000007</v>
      </c>
      <c r="N204">
        <v>8775.07</v>
      </c>
      <c r="O204">
        <v>8787.48</v>
      </c>
      <c r="P204">
        <v>8768.8700000000008</v>
      </c>
      <c r="Q204">
        <v>8775.07</v>
      </c>
      <c r="R204">
        <v>8725.42</v>
      </c>
      <c r="S204">
        <v>8681.98</v>
      </c>
      <c r="T204">
        <v>8657.16</v>
      </c>
      <c r="U204">
        <v>8681.98</v>
      </c>
      <c r="V204">
        <v>8713.01</v>
      </c>
      <c r="W204">
        <v>8713.01</v>
      </c>
    </row>
    <row r="205" spans="1:23" x14ac:dyDescent="0.35">
      <c r="A205" s="2" t="s">
        <v>179</v>
      </c>
      <c r="B205">
        <v>18.57</v>
      </c>
      <c r="C205">
        <v>18.399999999999999</v>
      </c>
      <c r="D205">
        <v>18.61</v>
      </c>
      <c r="E205">
        <v>18.7</v>
      </c>
      <c r="F205">
        <v>19.04</v>
      </c>
      <c r="G205">
        <v>19.21</v>
      </c>
      <c r="H205">
        <v>19.079999999999998</v>
      </c>
      <c r="I205">
        <v>18.72</v>
      </c>
      <c r="J205">
        <v>18.46</v>
      </c>
      <c r="K205">
        <v>18.39</v>
      </c>
      <c r="L205">
        <v>18.329999999999998</v>
      </c>
      <c r="M205">
        <v>18.87</v>
      </c>
      <c r="N205">
        <v>18.64</v>
      </c>
      <c r="O205">
        <v>18.63</v>
      </c>
      <c r="P205">
        <v>18.989999999999998</v>
      </c>
      <c r="Q205">
        <v>19.12</v>
      </c>
      <c r="R205">
        <v>19.079999999999998</v>
      </c>
      <c r="S205">
        <v>18.739999999999998</v>
      </c>
      <c r="T205">
        <v>18.670000000000002</v>
      </c>
      <c r="U205">
        <v>18.670000000000002</v>
      </c>
      <c r="V205">
        <v>18.739999999999998</v>
      </c>
      <c r="W205">
        <v>18.78</v>
      </c>
    </row>
    <row r="206" spans="1:23" x14ac:dyDescent="0.35">
      <c r="A206" s="2" t="s">
        <v>180</v>
      </c>
      <c r="B206">
        <v>3.87</v>
      </c>
      <c r="C206">
        <v>3.87</v>
      </c>
      <c r="D206">
        <v>3.87</v>
      </c>
      <c r="E206">
        <v>3.84</v>
      </c>
      <c r="F206">
        <v>3.84</v>
      </c>
      <c r="G206">
        <v>3.84</v>
      </c>
      <c r="H206">
        <v>3.73</v>
      </c>
      <c r="I206">
        <v>3.69</v>
      </c>
      <c r="J206">
        <v>3.68</v>
      </c>
      <c r="K206">
        <v>3.68</v>
      </c>
      <c r="L206">
        <v>3.68</v>
      </c>
      <c r="M206">
        <v>3.68</v>
      </c>
      <c r="N206">
        <v>3.68</v>
      </c>
      <c r="O206">
        <v>3.68</v>
      </c>
      <c r="P206">
        <v>3.68</v>
      </c>
      <c r="Q206">
        <v>3.68</v>
      </c>
      <c r="R206">
        <v>3.68</v>
      </c>
      <c r="S206">
        <v>3.68</v>
      </c>
      <c r="T206">
        <v>3.68</v>
      </c>
      <c r="U206">
        <v>3.68</v>
      </c>
      <c r="V206">
        <v>3.68</v>
      </c>
      <c r="W206">
        <v>3.68</v>
      </c>
    </row>
    <row r="207" spans="1:23" x14ac:dyDescent="0.35">
      <c r="A207" s="2" t="s">
        <v>181</v>
      </c>
      <c r="B207">
        <v>2.97</v>
      </c>
      <c r="C207">
        <v>2.96</v>
      </c>
      <c r="D207">
        <v>3.02</v>
      </c>
      <c r="E207">
        <v>3</v>
      </c>
      <c r="F207">
        <v>3.09</v>
      </c>
      <c r="G207">
        <v>3.12</v>
      </c>
      <c r="H207">
        <v>3.15</v>
      </c>
      <c r="I207">
        <v>3.12</v>
      </c>
      <c r="J207">
        <v>3.13</v>
      </c>
      <c r="K207">
        <v>3.12</v>
      </c>
      <c r="L207">
        <v>3.34</v>
      </c>
      <c r="M207">
        <v>3.32</v>
      </c>
      <c r="N207">
        <v>3.32</v>
      </c>
      <c r="O207">
        <v>3.34</v>
      </c>
      <c r="P207">
        <v>3.34</v>
      </c>
      <c r="Q207">
        <v>3.34</v>
      </c>
      <c r="R207">
        <v>3.31</v>
      </c>
      <c r="S207">
        <v>3.32</v>
      </c>
      <c r="T207">
        <v>3.32</v>
      </c>
      <c r="U207">
        <v>3.26</v>
      </c>
      <c r="V207">
        <v>3.3</v>
      </c>
      <c r="W207">
        <v>3.31</v>
      </c>
    </row>
    <row r="208" spans="1:23" x14ac:dyDescent="0.35">
      <c r="A208" s="2" t="s">
        <v>182</v>
      </c>
      <c r="B208">
        <v>7.82</v>
      </c>
      <c r="C208">
        <v>7.88</v>
      </c>
      <c r="D208">
        <v>7.89</v>
      </c>
      <c r="E208">
        <v>7.85</v>
      </c>
      <c r="F208">
        <v>7.86</v>
      </c>
      <c r="G208">
        <v>7.88</v>
      </c>
      <c r="H208">
        <v>7.9</v>
      </c>
      <c r="I208">
        <v>7.94</v>
      </c>
      <c r="J208">
        <v>7.95</v>
      </c>
      <c r="K208">
        <v>7.95</v>
      </c>
      <c r="L208">
        <v>7.93</v>
      </c>
      <c r="M208">
        <v>8.0299999999999994</v>
      </c>
      <c r="N208">
        <v>7.89</v>
      </c>
      <c r="O208">
        <v>8.06</v>
      </c>
      <c r="P208">
        <v>8.0399999999999991</v>
      </c>
      <c r="Q208">
        <v>8.06</v>
      </c>
      <c r="R208">
        <v>8.1300000000000008</v>
      </c>
      <c r="S208">
        <v>8.11</v>
      </c>
      <c r="T208">
        <v>7.9</v>
      </c>
      <c r="U208">
        <v>8.1199999999999992</v>
      </c>
      <c r="V208">
        <v>8.0399999999999991</v>
      </c>
      <c r="W208">
        <v>8.0399999999999991</v>
      </c>
    </row>
    <row r="209" spans="1:23" x14ac:dyDescent="0.35">
      <c r="A209" s="2" t="s">
        <v>183</v>
      </c>
      <c r="B209">
        <v>16.8</v>
      </c>
      <c r="C209">
        <v>16.8</v>
      </c>
      <c r="D209">
        <v>16.72</v>
      </c>
      <c r="E209">
        <v>16.95</v>
      </c>
      <c r="F209">
        <v>16.84</v>
      </c>
      <c r="G209">
        <v>17</v>
      </c>
      <c r="H209">
        <v>17.11</v>
      </c>
      <c r="I209">
        <v>17.170000000000002</v>
      </c>
      <c r="J209">
        <v>17.2</v>
      </c>
      <c r="K209">
        <v>17.47</v>
      </c>
      <c r="L209">
        <v>17.55</v>
      </c>
      <c r="M209">
        <v>17.48</v>
      </c>
      <c r="N209">
        <v>17.399999999999999</v>
      </c>
      <c r="O209">
        <v>17.39</v>
      </c>
      <c r="P209">
        <v>17.36</v>
      </c>
      <c r="Q209">
        <v>17.66</v>
      </c>
      <c r="R209">
        <v>17.77</v>
      </c>
      <c r="S209">
        <v>17.940000000000001</v>
      </c>
      <c r="T209">
        <v>18.02</v>
      </c>
      <c r="U209">
        <v>18.14</v>
      </c>
      <c r="V209">
        <v>17.940000000000001</v>
      </c>
      <c r="W209">
        <v>17.91</v>
      </c>
    </row>
    <row r="210" spans="1:23" x14ac:dyDescent="0.35">
      <c r="A210" s="2" t="s">
        <v>184</v>
      </c>
      <c r="B210">
        <v>3.66</v>
      </c>
      <c r="C210">
        <v>3.66</v>
      </c>
      <c r="D210">
        <v>3.68</v>
      </c>
      <c r="E210">
        <v>3.68</v>
      </c>
      <c r="F210">
        <v>3.95</v>
      </c>
      <c r="G210">
        <v>4.0599999999999996</v>
      </c>
      <c r="H210">
        <v>4.03</v>
      </c>
      <c r="I210">
        <v>4.03</v>
      </c>
      <c r="J210">
        <v>4.03</v>
      </c>
      <c r="K210">
        <v>4.09</v>
      </c>
      <c r="L210">
        <v>4.12</v>
      </c>
      <c r="M210">
        <v>4.09</v>
      </c>
      <c r="N210">
        <v>4.05</v>
      </c>
      <c r="O210">
        <v>3.96</v>
      </c>
      <c r="P210">
        <v>3.95</v>
      </c>
      <c r="Q210">
        <v>4.07</v>
      </c>
      <c r="R210">
        <v>4.05</v>
      </c>
      <c r="S210">
        <v>4.03</v>
      </c>
      <c r="T210">
        <v>4.01</v>
      </c>
      <c r="U210">
        <v>3.99</v>
      </c>
      <c r="V210">
        <v>4</v>
      </c>
      <c r="W210">
        <v>4.01</v>
      </c>
    </row>
    <row r="211" spans="1:23" x14ac:dyDescent="0.35">
      <c r="A211" s="2" t="s">
        <v>185</v>
      </c>
      <c r="B211">
        <v>60.94</v>
      </c>
      <c r="C211">
        <v>64.84</v>
      </c>
      <c r="D211">
        <v>65.95</v>
      </c>
      <c r="E211">
        <v>69.209999999999994</v>
      </c>
      <c r="F211">
        <v>68.39</v>
      </c>
      <c r="G211">
        <v>65.06</v>
      </c>
      <c r="H211">
        <v>60.18</v>
      </c>
      <c r="I211">
        <v>60.61</v>
      </c>
      <c r="J211">
        <v>56.57</v>
      </c>
      <c r="K211">
        <v>57.17</v>
      </c>
      <c r="L211">
        <v>57.68</v>
      </c>
      <c r="M211">
        <v>57.25</v>
      </c>
      <c r="N211">
        <v>56.49</v>
      </c>
      <c r="O211">
        <v>57.17</v>
      </c>
      <c r="P211">
        <v>55.63</v>
      </c>
      <c r="Q211">
        <v>55.06</v>
      </c>
      <c r="R211">
        <v>54.81</v>
      </c>
      <c r="S211">
        <v>53.81</v>
      </c>
      <c r="T211">
        <v>54.56</v>
      </c>
      <c r="U211">
        <v>54.06</v>
      </c>
      <c r="V211">
        <v>53.09</v>
      </c>
      <c r="W211">
        <v>52.84</v>
      </c>
    </row>
    <row r="212" spans="1:23" x14ac:dyDescent="0.35">
      <c r="A212" s="2" t="s">
        <v>186</v>
      </c>
      <c r="B212">
        <v>7.56</v>
      </c>
      <c r="C212">
        <v>7.77</v>
      </c>
      <c r="D212">
        <v>8.33</v>
      </c>
      <c r="E212">
        <v>8.6999999999999993</v>
      </c>
      <c r="F212">
        <v>8.64</v>
      </c>
      <c r="G212">
        <v>8.68</v>
      </c>
      <c r="H212">
        <v>8.6999999999999993</v>
      </c>
      <c r="I212">
        <v>8.5500000000000007</v>
      </c>
      <c r="J212">
        <v>8.52</v>
      </c>
      <c r="K212">
        <v>8.59</v>
      </c>
      <c r="L212">
        <v>8.5399999999999991</v>
      </c>
      <c r="M212">
        <v>8.57</v>
      </c>
      <c r="N212">
        <v>8.61</v>
      </c>
      <c r="O212">
        <v>8.6999999999999993</v>
      </c>
      <c r="P212">
        <v>8.7799999999999994</v>
      </c>
      <c r="Q212">
        <v>8.56</v>
      </c>
      <c r="R212">
        <v>8.4600000000000009</v>
      </c>
      <c r="S212">
        <v>8.42</v>
      </c>
      <c r="T212">
        <v>8.6300000000000008</v>
      </c>
      <c r="U212">
        <v>8.93</v>
      </c>
      <c r="V212">
        <v>8.8000000000000007</v>
      </c>
      <c r="W212">
        <v>8.69</v>
      </c>
    </row>
    <row r="213" spans="1:23" x14ac:dyDescent="0.35">
      <c r="A213" s="2" t="s">
        <v>187</v>
      </c>
      <c r="B213">
        <v>2.86</v>
      </c>
      <c r="C213">
        <v>2.91</v>
      </c>
      <c r="D213">
        <v>2.92</v>
      </c>
      <c r="E213">
        <v>2.94</v>
      </c>
      <c r="F213">
        <v>2.95</v>
      </c>
      <c r="G213">
        <v>2.97</v>
      </c>
      <c r="H213">
        <v>2.95</v>
      </c>
      <c r="I213">
        <v>2.97</v>
      </c>
      <c r="J213">
        <v>2.97</v>
      </c>
      <c r="K213">
        <v>3.03</v>
      </c>
      <c r="L213">
        <v>3.01</v>
      </c>
      <c r="M213">
        <v>3.02</v>
      </c>
      <c r="N213">
        <v>3.02</v>
      </c>
      <c r="O213">
        <v>3.01</v>
      </c>
      <c r="P213">
        <v>3.01</v>
      </c>
      <c r="Q213">
        <v>3.04</v>
      </c>
      <c r="R213">
        <v>3.06</v>
      </c>
      <c r="S213">
        <v>3.06</v>
      </c>
      <c r="T213">
        <v>3.07</v>
      </c>
      <c r="U213">
        <v>3.07</v>
      </c>
      <c r="V213">
        <v>3.07</v>
      </c>
      <c r="W213">
        <v>3.07</v>
      </c>
    </row>
    <row r="214" spans="1:23" x14ac:dyDescent="0.35">
      <c r="A214" s="2" t="s">
        <v>188</v>
      </c>
      <c r="B214">
        <v>57.39</v>
      </c>
      <c r="C214">
        <v>58.14</v>
      </c>
      <c r="D214">
        <v>59.72</v>
      </c>
      <c r="E214">
        <v>60.65</v>
      </c>
      <c r="F214">
        <v>61.66</v>
      </c>
      <c r="G214">
        <v>61.63</v>
      </c>
      <c r="H214">
        <v>62.11</v>
      </c>
      <c r="I214">
        <v>63.61</v>
      </c>
      <c r="J214">
        <v>64.47</v>
      </c>
      <c r="K214">
        <v>65.11</v>
      </c>
      <c r="L214">
        <v>65.03</v>
      </c>
      <c r="M214">
        <v>65.59</v>
      </c>
      <c r="N214">
        <v>66.61</v>
      </c>
      <c r="O214">
        <v>67.47</v>
      </c>
      <c r="P214">
        <v>67.62</v>
      </c>
      <c r="Q214">
        <v>68.44</v>
      </c>
      <c r="R214">
        <v>68.099999999999994</v>
      </c>
      <c r="S214">
        <v>68.59</v>
      </c>
      <c r="T214">
        <v>68.66</v>
      </c>
      <c r="U214">
        <v>68.290000000000006</v>
      </c>
      <c r="V214">
        <v>69.23</v>
      </c>
      <c r="W214">
        <v>69.489999999999995</v>
      </c>
    </row>
    <row r="215" spans="1:23" x14ac:dyDescent="0.35">
      <c r="A215" s="2" t="s">
        <v>813</v>
      </c>
      <c r="B215">
        <v>139.96</v>
      </c>
      <c r="C215">
        <v>140.07</v>
      </c>
      <c r="D215">
        <v>139.84</v>
      </c>
      <c r="E215">
        <v>140.74</v>
      </c>
      <c r="F215">
        <v>141.75</v>
      </c>
      <c r="G215">
        <v>141.30000000000001</v>
      </c>
      <c r="H215">
        <v>141.19</v>
      </c>
      <c r="I215">
        <v>141.86000000000001</v>
      </c>
      <c r="J215">
        <v>142.87</v>
      </c>
      <c r="K215">
        <v>142.87</v>
      </c>
      <c r="L215">
        <v>143.77000000000001</v>
      </c>
      <c r="M215">
        <v>143.55000000000001</v>
      </c>
      <c r="N215">
        <v>142.65</v>
      </c>
      <c r="O215">
        <v>142.65</v>
      </c>
      <c r="P215">
        <v>141.97999999999999</v>
      </c>
      <c r="Q215">
        <v>145.01</v>
      </c>
      <c r="R215">
        <v>146.02000000000001</v>
      </c>
      <c r="S215">
        <v>147.13999999999999</v>
      </c>
      <c r="T215">
        <v>147.36000000000001</v>
      </c>
      <c r="U215">
        <v>148.82</v>
      </c>
      <c r="V215">
        <v>150.96</v>
      </c>
      <c r="W215">
        <v>153.41999999999999</v>
      </c>
    </row>
    <row r="216" spans="1:23" x14ac:dyDescent="0.35">
      <c r="A216" s="2" t="s">
        <v>189</v>
      </c>
      <c r="B216">
        <v>2.99</v>
      </c>
      <c r="C216">
        <v>3.19</v>
      </c>
      <c r="D216">
        <v>3.03</v>
      </c>
      <c r="E216">
        <v>3.08</v>
      </c>
      <c r="F216">
        <v>3.1</v>
      </c>
      <c r="G216">
        <v>3.16</v>
      </c>
      <c r="H216">
        <v>3.28</v>
      </c>
      <c r="I216">
        <v>3.16</v>
      </c>
      <c r="J216">
        <v>3.47</v>
      </c>
      <c r="K216">
        <v>3.56</v>
      </c>
      <c r="L216">
        <v>3.42</v>
      </c>
      <c r="M216">
        <v>3.11</v>
      </c>
      <c r="N216">
        <v>3.09</v>
      </c>
      <c r="O216">
        <v>3.12</v>
      </c>
      <c r="P216">
        <v>3.17</v>
      </c>
      <c r="Q216">
        <v>3.26</v>
      </c>
      <c r="R216">
        <v>3.41</v>
      </c>
      <c r="S216">
        <v>3.49</v>
      </c>
      <c r="T216">
        <v>3.57</v>
      </c>
      <c r="U216">
        <v>3.69</v>
      </c>
      <c r="V216">
        <v>3.7</v>
      </c>
      <c r="W216">
        <v>3.64</v>
      </c>
    </row>
    <row r="217" spans="1:23" x14ac:dyDescent="0.35">
      <c r="A217" s="2" t="s">
        <v>190</v>
      </c>
      <c r="B217">
        <v>1.99</v>
      </c>
      <c r="C217">
        <v>1.93</v>
      </c>
      <c r="D217">
        <v>1.83</v>
      </c>
      <c r="E217">
        <v>1.97</v>
      </c>
      <c r="F217">
        <v>1.9</v>
      </c>
      <c r="G217">
        <v>1.93</v>
      </c>
      <c r="H217">
        <v>1.97</v>
      </c>
      <c r="I217">
        <v>1.98</v>
      </c>
      <c r="J217">
        <v>2</v>
      </c>
      <c r="K217">
        <v>1.95</v>
      </c>
      <c r="L217">
        <v>1.93</v>
      </c>
      <c r="M217">
        <v>1.93</v>
      </c>
      <c r="N217">
        <v>1.95</v>
      </c>
      <c r="O217">
        <v>1.77</v>
      </c>
      <c r="P217">
        <v>1.76</v>
      </c>
      <c r="Q217">
        <v>1.7</v>
      </c>
      <c r="R217">
        <v>1.74</v>
      </c>
      <c r="S217">
        <v>1.77</v>
      </c>
      <c r="T217">
        <v>1.84</v>
      </c>
      <c r="U217">
        <v>1.79</v>
      </c>
      <c r="V217">
        <v>1.78</v>
      </c>
      <c r="W217">
        <v>1.81</v>
      </c>
    </row>
    <row r="218" spans="1:23" x14ac:dyDescent="0.35">
      <c r="A218" s="2" t="s">
        <v>191</v>
      </c>
      <c r="B218">
        <v>3.65</v>
      </c>
      <c r="C218">
        <v>3.71</v>
      </c>
      <c r="D218">
        <v>3.92</v>
      </c>
      <c r="E218">
        <v>4.12</v>
      </c>
      <c r="F218">
        <v>4.0599999999999996</v>
      </c>
      <c r="G218">
        <v>4.04</v>
      </c>
      <c r="H218">
        <v>4.13</v>
      </c>
      <c r="I218">
        <v>4.04</v>
      </c>
      <c r="J218">
        <v>4.01</v>
      </c>
      <c r="K218">
        <v>4.17</v>
      </c>
      <c r="L218">
        <v>3.73</v>
      </c>
      <c r="M218">
        <v>3.82</v>
      </c>
      <c r="N218">
        <v>3.97</v>
      </c>
      <c r="O218">
        <v>3.95</v>
      </c>
      <c r="P218">
        <v>3.97</v>
      </c>
      <c r="Q218">
        <v>3.87</v>
      </c>
      <c r="R218">
        <v>3.81</v>
      </c>
      <c r="S218">
        <v>3.84</v>
      </c>
      <c r="T218">
        <v>3.81</v>
      </c>
      <c r="U218">
        <v>3.81</v>
      </c>
      <c r="V218">
        <v>3.84</v>
      </c>
      <c r="W218">
        <v>3.87</v>
      </c>
    </row>
    <row r="219" spans="1:23" x14ac:dyDescent="0.35">
      <c r="A219" s="2" t="s">
        <v>192</v>
      </c>
      <c r="B219">
        <v>52.28</v>
      </c>
      <c r="C219">
        <v>51.4</v>
      </c>
      <c r="D219">
        <v>52.52</v>
      </c>
      <c r="E219">
        <v>55.77</v>
      </c>
      <c r="F219">
        <v>55.49</v>
      </c>
      <c r="G219">
        <v>59.53</v>
      </c>
      <c r="H219">
        <v>59.53</v>
      </c>
      <c r="I219">
        <v>58.13</v>
      </c>
      <c r="J219">
        <v>56.31</v>
      </c>
      <c r="K219">
        <v>55.28</v>
      </c>
      <c r="L219">
        <v>54.64</v>
      </c>
      <c r="M219">
        <v>53.31</v>
      </c>
      <c r="N219">
        <v>51.28</v>
      </c>
      <c r="O219">
        <v>50.79</v>
      </c>
      <c r="P219">
        <v>53.64</v>
      </c>
      <c r="Q219">
        <v>56.13</v>
      </c>
      <c r="R219">
        <v>56.52</v>
      </c>
      <c r="S219">
        <v>59.04</v>
      </c>
      <c r="T219">
        <v>58.16</v>
      </c>
      <c r="U219">
        <v>56.16</v>
      </c>
      <c r="V219">
        <v>54.8</v>
      </c>
      <c r="W219">
        <v>55.8</v>
      </c>
    </row>
    <row r="220" spans="1:23" x14ac:dyDescent="0.35">
      <c r="A220" s="2" t="s">
        <v>193</v>
      </c>
      <c r="B220">
        <v>3.76</v>
      </c>
      <c r="C220">
        <v>3.83</v>
      </c>
      <c r="D220">
        <v>3.92</v>
      </c>
      <c r="E220">
        <v>3.85</v>
      </c>
      <c r="F220">
        <v>3.87</v>
      </c>
      <c r="G220">
        <v>3.91</v>
      </c>
      <c r="H220">
        <v>3.99</v>
      </c>
      <c r="I220">
        <v>4.07</v>
      </c>
      <c r="J220">
        <v>4.13</v>
      </c>
      <c r="K220">
        <v>4.1900000000000004</v>
      </c>
      <c r="L220">
        <v>4.1900000000000004</v>
      </c>
      <c r="M220">
        <v>4.21</v>
      </c>
      <c r="N220">
        <v>4.17</v>
      </c>
      <c r="O220">
        <v>4.12</v>
      </c>
      <c r="P220">
        <v>4.1399999999999997</v>
      </c>
      <c r="Q220">
        <v>4.1900000000000004</v>
      </c>
      <c r="R220">
        <v>4.3099999999999996</v>
      </c>
      <c r="S220">
        <v>4.41</v>
      </c>
      <c r="T220">
        <v>4.3600000000000003</v>
      </c>
      <c r="U220">
        <v>4.59</v>
      </c>
      <c r="V220">
        <v>4.71</v>
      </c>
      <c r="W220">
        <v>4.8099999999999996</v>
      </c>
    </row>
    <row r="221" spans="1:23" x14ac:dyDescent="0.35">
      <c r="A221" s="2" t="s">
        <v>814</v>
      </c>
      <c r="B221">
        <v>28.68</v>
      </c>
      <c r="C221">
        <v>28.66</v>
      </c>
      <c r="D221">
        <v>28.94</v>
      </c>
      <c r="E221">
        <v>29.56</v>
      </c>
      <c r="F221">
        <v>29.82</v>
      </c>
      <c r="G221">
        <v>29.71</v>
      </c>
      <c r="H221">
        <v>30.21</v>
      </c>
      <c r="I221">
        <v>30.91</v>
      </c>
      <c r="J221">
        <v>30.98</v>
      </c>
      <c r="K221">
        <v>31.17</v>
      </c>
      <c r="L221">
        <v>31.8</v>
      </c>
      <c r="M221">
        <v>31.8</v>
      </c>
      <c r="N221">
        <v>31.71</v>
      </c>
      <c r="O221">
        <v>31.19</v>
      </c>
      <c r="P221">
        <v>31.99</v>
      </c>
      <c r="Q221">
        <v>31.68</v>
      </c>
      <c r="R221">
        <v>32.18</v>
      </c>
      <c r="S221">
        <v>32.880000000000003</v>
      </c>
      <c r="T221">
        <v>33.11</v>
      </c>
      <c r="U221">
        <v>33.200000000000003</v>
      </c>
      <c r="V221">
        <v>33.93</v>
      </c>
      <c r="W221">
        <v>33.46</v>
      </c>
    </row>
    <row r="222" spans="1:23" x14ac:dyDescent="0.35">
      <c r="A222" s="2" t="s">
        <v>194</v>
      </c>
      <c r="B222">
        <v>3.18</v>
      </c>
      <c r="C222">
        <v>3.21</v>
      </c>
      <c r="D222">
        <v>3.22</v>
      </c>
      <c r="E222">
        <v>3.31</v>
      </c>
      <c r="F222">
        <v>3.27</v>
      </c>
      <c r="G222">
        <v>3.27</v>
      </c>
      <c r="H222">
        <v>3.28</v>
      </c>
      <c r="I222">
        <v>3.23</v>
      </c>
      <c r="J222">
        <v>3.27</v>
      </c>
      <c r="K222">
        <v>3.31</v>
      </c>
      <c r="L222">
        <v>3.25</v>
      </c>
      <c r="M222">
        <v>3.27</v>
      </c>
      <c r="N222">
        <v>3.27</v>
      </c>
      <c r="O222">
        <v>3.28</v>
      </c>
      <c r="P222">
        <v>3.29</v>
      </c>
      <c r="Q222">
        <v>3.3</v>
      </c>
      <c r="R222">
        <v>3.33</v>
      </c>
      <c r="S222">
        <v>3.36</v>
      </c>
      <c r="T222">
        <v>3.4</v>
      </c>
      <c r="U222">
        <v>3.39</v>
      </c>
      <c r="V222">
        <v>3.4</v>
      </c>
      <c r="W222">
        <v>3.45</v>
      </c>
    </row>
    <row r="223" spans="1:23" x14ac:dyDescent="0.35">
      <c r="A223" s="2" t="s">
        <v>815</v>
      </c>
      <c r="B223">
        <v>33.909999999999997</v>
      </c>
      <c r="C223">
        <v>36.51</v>
      </c>
      <c r="D223">
        <v>37.06</v>
      </c>
      <c r="E223">
        <v>38.64</v>
      </c>
      <c r="F223">
        <v>37.89</v>
      </c>
      <c r="G223">
        <v>39.69</v>
      </c>
      <c r="H223">
        <v>39.46</v>
      </c>
      <c r="I223">
        <v>40.090000000000003</v>
      </c>
      <c r="J223">
        <v>40.950000000000003</v>
      </c>
      <c r="K223">
        <v>40.86</v>
      </c>
      <c r="L223">
        <v>40.51</v>
      </c>
      <c r="M223">
        <v>40.42</v>
      </c>
      <c r="N223">
        <v>40.24</v>
      </c>
      <c r="O223">
        <v>40.26</v>
      </c>
      <c r="P223">
        <v>39.729999999999997</v>
      </c>
      <c r="Q223">
        <v>40.18</v>
      </c>
      <c r="R223">
        <v>40.020000000000003</v>
      </c>
      <c r="S223">
        <v>40.33</v>
      </c>
      <c r="T223">
        <v>39.35</v>
      </c>
      <c r="U223">
        <v>39.840000000000003</v>
      </c>
      <c r="V223">
        <v>40.4</v>
      </c>
      <c r="W223">
        <v>40.200000000000003</v>
      </c>
    </row>
    <row r="224" spans="1:23" x14ac:dyDescent="0.35">
      <c r="A224" s="2" t="s">
        <v>195</v>
      </c>
      <c r="B224">
        <v>29.48</v>
      </c>
      <c r="C224">
        <v>31.49</v>
      </c>
      <c r="D224">
        <v>32.15</v>
      </c>
      <c r="E224">
        <v>33.43</v>
      </c>
      <c r="F224">
        <v>32.700000000000003</v>
      </c>
      <c r="G224">
        <v>34.19</v>
      </c>
      <c r="H224">
        <v>34.01</v>
      </c>
      <c r="I224">
        <v>34.67</v>
      </c>
      <c r="J224">
        <v>35.29</v>
      </c>
      <c r="K224">
        <v>35.159999999999997</v>
      </c>
      <c r="L224">
        <v>34.799999999999997</v>
      </c>
      <c r="M224">
        <v>34.71</v>
      </c>
      <c r="N224">
        <v>34.520000000000003</v>
      </c>
      <c r="O224">
        <v>34.54</v>
      </c>
      <c r="P224">
        <v>34.01</v>
      </c>
      <c r="Q224">
        <v>34.47</v>
      </c>
      <c r="R224">
        <v>34.299999999999997</v>
      </c>
      <c r="S224">
        <v>34.49</v>
      </c>
      <c r="T224">
        <v>33.61</v>
      </c>
      <c r="U224">
        <v>34.19</v>
      </c>
      <c r="V224">
        <v>34.76</v>
      </c>
      <c r="W224">
        <v>34.74</v>
      </c>
    </row>
    <row r="225" spans="1:23" x14ac:dyDescent="0.35">
      <c r="A225" s="2" t="s">
        <v>196</v>
      </c>
      <c r="B225">
        <v>4.46</v>
      </c>
      <c r="C225">
        <v>5.03</v>
      </c>
      <c r="D225">
        <v>4.93</v>
      </c>
      <c r="E225">
        <v>5.24</v>
      </c>
      <c r="F225">
        <v>5.2</v>
      </c>
      <c r="G225">
        <v>5.53</v>
      </c>
      <c r="H225">
        <v>5.48</v>
      </c>
      <c r="I225">
        <v>5.43</v>
      </c>
      <c r="J225">
        <v>5.69</v>
      </c>
      <c r="K225">
        <v>5.72</v>
      </c>
      <c r="L225">
        <v>5.72</v>
      </c>
      <c r="M225">
        <v>5.72</v>
      </c>
      <c r="N225">
        <v>5.72</v>
      </c>
      <c r="O225">
        <v>5.74</v>
      </c>
      <c r="P225">
        <v>5.75</v>
      </c>
      <c r="Q225">
        <v>5.72</v>
      </c>
      <c r="R225">
        <v>5.72</v>
      </c>
      <c r="S225">
        <v>5.86</v>
      </c>
      <c r="T225">
        <v>5.76</v>
      </c>
      <c r="U225">
        <v>5.67</v>
      </c>
      <c r="V225">
        <v>5.66</v>
      </c>
      <c r="W225">
        <v>5.47</v>
      </c>
    </row>
    <row r="226" spans="1:23" x14ac:dyDescent="0.35">
      <c r="A226" s="2" t="s">
        <v>197</v>
      </c>
      <c r="B226">
        <v>6.21</v>
      </c>
      <c r="C226">
        <v>6.91</v>
      </c>
      <c r="D226">
        <v>7.77</v>
      </c>
      <c r="E226">
        <v>7.85</v>
      </c>
      <c r="F226">
        <v>7.8</v>
      </c>
      <c r="G226">
        <v>7.94</v>
      </c>
      <c r="H226">
        <v>7.99</v>
      </c>
      <c r="I226">
        <v>9.14</v>
      </c>
      <c r="J226">
        <v>8.34</v>
      </c>
      <c r="K226">
        <v>8.7799999999999994</v>
      </c>
      <c r="L226">
        <v>9.16</v>
      </c>
      <c r="M226">
        <v>8.15</v>
      </c>
      <c r="N226">
        <v>7.75</v>
      </c>
      <c r="O226">
        <v>7.56</v>
      </c>
      <c r="P226">
        <v>7.38</v>
      </c>
      <c r="Q226">
        <v>7.25</v>
      </c>
      <c r="R226">
        <v>7.16</v>
      </c>
      <c r="S226">
        <v>7.59</v>
      </c>
      <c r="T226">
        <v>8.08</v>
      </c>
      <c r="U226">
        <v>8.43</v>
      </c>
      <c r="V226">
        <v>7.7</v>
      </c>
      <c r="W226">
        <v>7.59</v>
      </c>
    </row>
    <row r="227" spans="1:23" x14ac:dyDescent="0.35">
      <c r="A227" s="2" t="s">
        <v>816</v>
      </c>
      <c r="B227">
        <v>113.57</v>
      </c>
      <c r="C227">
        <v>113.83</v>
      </c>
      <c r="D227">
        <v>113.3</v>
      </c>
      <c r="E227">
        <v>113.92</v>
      </c>
      <c r="F227">
        <v>114.55</v>
      </c>
      <c r="G227">
        <v>114.64</v>
      </c>
      <c r="H227">
        <v>114.19</v>
      </c>
      <c r="I227">
        <v>114.46</v>
      </c>
      <c r="J227">
        <v>114.55</v>
      </c>
      <c r="K227">
        <v>115.17</v>
      </c>
      <c r="L227">
        <v>115.17</v>
      </c>
      <c r="M227">
        <v>115.17</v>
      </c>
      <c r="N227">
        <v>115.8</v>
      </c>
      <c r="O227">
        <v>116.24</v>
      </c>
      <c r="P227">
        <v>116.24</v>
      </c>
      <c r="Q227">
        <v>116.78</v>
      </c>
      <c r="R227">
        <v>116.51</v>
      </c>
      <c r="S227">
        <v>116.6</v>
      </c>
      <c r="T227">
        <v>116.69</v>
      </c>
      <c r="U227">
        <v>117.22</v>
      </c>
      <c r="V227">
        <v>117.14</v>
      </c>
      <c r="W227">
        <v>117.49</v>
      </c>
    </row>
    <row r="228" spans="1:23" x14ac:dyDescent="0.35">
      <c r="A228" s="2" t="s">
        <v>198</v>
      </c>
      <c r="B228">
        <v>133</v>
      </c>
      <c r="C228">
        <v>135.44999999999999</v>
      </c>
      <c r="D228">
        <v>137.91</v>
      </c>
      <c r="E228">
        <v>140.65</v>
      </c>
      <c r="F228">
        <v>145.28</v>
      </c>
      <c r="G228">
        <v>146.69999999999999</v>
      </c>
      <c r="H228">
        <v>147.65</v>
      </c>
      <c r="I228">
        <v>147.93</v>
      </c>
      <c r="J228">
        <v>145.76</v>
      </c>
      <c r="K228">
        <v>148.88</v>
      </c>
      <c r="L228">
        <v>148.21</v>
      </c>
      <c r="M228">
        <v>148.12</v>
      </c>
      <c r="N228">
        <v>148.31</v>
      </c>
      <c r="O228">
        <v>150.01</v>
      </c>
      <c r="P228">
        <v>150.19999999999999</v>
      </c>
      <c r="Q228">
        <v>152.18</v>
      </c>
      <c r="R228">
        <v>150.58000000000001</v>
      </c>
      <c r="S228">
        <v>149.82</v>
      </c>
      <c r="T228">
        <v>148.88</v>
      </c>
      <c r="U228">
        <v>147.84</v>
      </c>
      <c r="V228">
        <v>147.74</v>
      </c>
      <c r="W228">
        <v>148.5</v>
      </c>
    </row>
    <row r="229" spans="1:23" x14ac:dyDescent="0.35">
      <c r="A229" s="2" t="s">
        <v>199</v>
      </c>
      <c r="B229">
        <v>10.83</v>
      </c>
      <c r="C229">
        <v>10.68</v>
      </c>
      <c r="D229">
        <v>11.05</v>
      </c>
      <c r="E229">
        <v>10.85</v>
      </c>
      <c r="F229">
        <v>11.13</v>
      </c>
      <c r="G229">
        <v>10.96</v>
      </c>
      <c r="H229">
        <v>11.21</v>
      </c>
      <c r="I229">
        <v>10.98</v>
      </c>
      <c r="J229">
        <v>11.23</v>
      </c>
      <c r="K229">
        <v>10.88</v>
      </c>
      <c r="L229">
        <v>11.28</v>
      </c>
      <c r="M229">
        <v>10.9</v>
      </c>
      <c r="N229">
        <v>11.39</v>
      </c>
      <c r="O229">
        <v>11.31</v>
      </c>
      <c r="P229">
        <v>11.53</v>
      </c>
      <c r="Q229">
        <v>11.35</v>
      </c>
      <c r="R229">
        <v>11.56</v>
      </c>
      <c r="S229">
        <v>11.26</v>
      </c>
      <c r="T229">
        <v>11.61</v>
      </c>
      <c r="U229">
        <v>11.43</v>
      </c>
      <c r="V229">
        <v>11.81</v>
      </c>
      <c r="W229">
        <v>11.49</v>
      </c>
    </row>
    <row r="230" spans="1:23" x14ac:dyDescent="0.35">
      <c r="A230" s="2" t="s">
        <v>200</v>
      </c>
      <c r="B230">
        <v>0.8</v>
      </c>
      <c r="C230">
        <v>0.79</v>
      </c>
      <c r="D230">
        <v>0.79</v>
      </c>
      <c r="E230">
        <v>0.78</v>
      </c>
      <c r="F230">
        <v>0.78</v>
      </c>
      <c r="G230">
        <v>0.79</v>
      </c>
      <c r="H230">
        <v>0.79</v>
      </c>
      <c r="I230">
        <v>0.78</v>
      </c>
      <c r="J230">
        <v>0.79</v>
      </c>
      <c r="K230">
        <v>0.79</v>
      </c>
      <c r="L230">
        <v>0.8</v>
      </c>
      <c r="M230">
        <v>0.79</v>
      </c>
      <c r="N230">
        <v>0.79</v>
      </c>
      <c r="O230">
        <v>0.79</v>
      </c>
      <c r="P230">
        <v>0.78</v>
      </c>
      <c r="Q230">
        <v>0.78</v>
      </c>
      <c r="R230">
        <v>0.78</v>
      </c>
      <c r="S230">
        <v>0.78</v>
      </c>
      <c r="T230">
        <v>0.78</v>
      </c>
      <c r="U230">
        <v>0.78</v>
      </c>
      <c r="V230">
        <v>0.79</v>
      </c>
      <c r="W230">
        <v>0.79</v>
      </c>
    </row>
    <row r="231" spans="1:23" x14ac:dyDescent="0.35">
      <c r="A231" s="2" t="s">
        <v>201</v>
      </c>
      <c r="B231">
        <v>6.92</v>
      </c>
      <c r="C231">
        <v>7.05</v>
      </c>
      <c r="D231">
        <v>7.66</v>
      </c>
      <c r="E231">
        <v>7.78</v>
      </c>
      <c r="F231">
        <v>8.0500000000000007</v>
      </c>
      <c r="G231">
        <v>8.2799999999999994</v>
      </c>
      <c r="H231">
        <v>8.5500000000000007</v>
      </c>
      <c r="I231">
        <v>8.6199999999999992</v>
      </c>
      <c r="J231">
        <v>8.42</v>
      </c>
      <c r="K231">
        <v>8.5399999999999991</v>
      </c>
      <c r="L231">
        <v>8.52</v>
      </c>
      <c r="M231">
        <v>8.33</v>
      </c>
      <c r="N231">
        <v>8.24</v>
      </c>
      <c r="O231">
        <v>8.06</v>
      </c>
      <c r="P231">
        <v>8.14</v>
      </c>
      <c r="Q231">
        <v>8.4499999999999993</v>
      </c>
      <c r="R231">
        <v>8.41</v>
      </c>
      <c r="S231">
        <v>8.6</v>
      </c>
      <c r="T231">
        <v>8.73</v>
      </c>
      <c r="U231">
        <v>8.7200000000000006</v>
      </c>
      <c r="V231">
        <v>8.69</v>
      </c>
      <c r="W231">
        <v>8.7200000000000006</v>
      </c>
    </row>
    <row r="232" spans="1:23" x14ac:dyDescent="0.35">
      <c r="A232" s="2" t="s">
        <v>817</v>
      </c>
      <c r="B232">
        <v>105.94</v>
      </c>
      <c r="C232">
        <v>105.94</v>
      </c>
      <c r="D232">
        <v>106.23</v>
      </c>
      <c r="E232">
        <v>107.26</v>
      </c>
      <c r="F232">
        <v>107.4</v>
      </c>
      <c r="G232">
        <v>107.4</v>
      </c>
      <c r="H232">
        <v>108.21</v>
      </c>
      <c r="I232">
        <v>109.31</v>
      </c>
      <c r="J232">
        <v>109.38</v>
      </c>
      <c r="K232">
        <v>109.31</v>
      </c>
      <c r="L232">
        <v>109.82</v>
      </c>
      <c r="M232">
        <v>109.53</v>
      </c>
      <c r="N232">
        <v>109.16</v>
      </c>
      <c r="O232">
        <v>109.6</v>
      </c>
      <c r="P232">
        <v>109.82</v>
      </c>
      <c r="Q232">
        <v>109.45</v>
      </c>
      <c r="R232">
        <v>109.82</v>
      </c>
      <c r="S232">
        <v>109.6</v>
      </c>
      <c r="T232">
        <v>109.97</v>
      </c>
      <c r="U232">
        <v>110.26</v>
      </c>
      <c r="V232">
        <v>110.26</v>
      </c>
      <c r="W232">
        <v>111.29</v>
      </c>
    </row>
    <row r="233" spans="1:23" x14ac:dyDescent="0.35">
      <c r="A233" s="2" t="s">
        <v>818</v>
      </c>
      <c r="B233">
        <v>74.31</v>
      </c>
      <c r="C233">
        <v>74.41</v>
      </c>
      <c r="D233">
        <v>74.52</v>
      </c>
      <c r="E233">
        <v>75.349999999999994</v>
      </c>
      <c r="F233">
        <v>75.400000000000006</v>
      </c>
      <c r="G233">
        <v>75.3</v>
      </c>
      <c r="H233">
        <v>76.02</v>
      </c>
      <c r="I233">
        <v>76.75</v>
      </c>
      <c r="J233">
        <v>76.64</v>
      </c>
      <c r="K233">
        <v>76.7</v>
      </c>
      <c r="L233">
        <v>77.06</v>
      </c>
      <c r="M233">
        <v>77.06</v>
      </c>
      <c r="N233">
        <v>76.7</v>
      </c>
      <c r="O233">
        <v>76.959999999999994</v>
      </c>
      <c r="P233">
        <v>76.959999999999994</v>
      </c>
      <c r="Q233">
        <v>76.959999999999994</v>
      </c>
      <c r="R233">
        <v>76.959999999999994</v>
      </c>
      <c r="S233">
        <v>77.010000000000005</v>
      </c>
      <c r="T233">
        <v>76.849999999999994</v>
      </c>
      <c r="U233">
        <v>77.27</v>
      </c>
      <c r="V233">
        <v>76.959999999999994</v>
      </c>
      <c r="W233">
        <v>77.53</v>
      </c>
    </row>
    <row r="234" spans="1:23" x14ac:dyDescent="0.35">
      <c r="A234" s="2" t="s">
        <v>202</v>
      </c>
      <c r="B234">
        <v>9.9600000000000009</v>
      </c>
      <c r="C234">
        <v>9.99</v>
      </c>
      <c r="D234">
        <v>9.98</v>
      </c>
      <c r="E234">
        <v>9.8000000000000007</v>
      </c>
      <c r="F234">
        <v>9.8699999999999992</v>
      </c>
      <c r="G234">
        <v>9.84</v>
      </c>
      <c r="H234">
        <v>9.84</v>
      </c>
      <c r="I234">
        <v>9.83</v>
      </c>
      <c r="J234">
        <v>9.81</v>
      </c>
      <c r="K234">
        <v>9.89</v>
      </c>
      <c r="L234">
        <v>9.92</v>
      </c>
      <c r="M234">
        <v>9.9</v>
      </c>
      <c r="N234">
        <v>9.92</v>
      </c>
      <c r="O234">
        <v>9.92</v>
      </c>
      <c r="P234">
        <v>9.94</v>
      </c>
      <c r="Q234">
        <v>9.75</v>
      </c>
      <c r="R234">
        <v>9.82</v>
      </c>
      <c r="S234">
        <v>9.84</v>
      </c>
      <c r="T234">
        <v>9.75</v>
      </c>
      <c r="U234">
        <v>9.6199999999999992</v>
      </c>
      <c r="V234">
        <v>9.6300000000000008</v>
      </c>
      <c r="W234">
        <v>9.69</v>
      </c>
    </row>
    <row r="235" spans="1:23" x14ac:dyDescent="0.35">
      <c r="A235" s="2" t="s">
        <v>819</v>
      </c>
      <c r="B235">
        <v>61.65</v>
      </c>
      <c r="C235">
        <v>61.85</v>
      </c>
      <c r="D235">
        <v>61.39</v>
      </c>
      <c r="E235">
        <v>61.7</v>
      </c>
      <c r="F235">
        <v>61.9</v>
      </c>
      <c r="G235">
        <v>62.46</v>
      </c>
      <c r="H235">
        <v>62.82</v>
      </c>
      <c r="I235">
        <v>62.87</v>
      </c>
      <c r="J235">
        <v>62.92</v>
      </c>
      <c r="K235">
        <v>62.31</v>
      </c>
      <c r="L235">
        <v>62.41</v>
      </c>
      <c r="M235">
        <v>61.95</v>
      </c>
      <c r="N235">
        <v>61.8</v>
      </c>
      <c r="O235">
        <v>62.31</v>
      </c>
      <c r="P235">
        <v>62.36</v>
      </c>
      <c r="Q235">
        <v>62.92</v>
      </c>
      <c r="R235">
        <v>62.97</v>
      </c>
      <c r="S235">
        <v>63.59</v>
      </c>
      <c r="T235">
        <v>64.099999999999994</v>
      </c>
      <c r="U235">
        <v>63.99</v>
      </c>
      <c r="V235">
        <v>63.18</v>
      </c>
      <c r="W235">
        <v>63.23</v>
      </c>
    </row>
    <row r="236" spans="1:23" x14ac:dyDescent="0.35">
      <c r="A236" s="2" t="s">
        <v>203</v>
      </c>
      <c r="B236">
        <v>1.3</v>
      </c>
      <c r="C236">
        <v>1.32</v>
      </c>
      <c r="D236">
        <v>1.32</v>
      </c>
      <c r="E236">
        <v>1.33</v>
      </c>
      <c r="F236">
        <v>1.32</v>
      </c>
      <c r="G236">
        <v>1.27</v>
      </c>
      <c r="H236">
        <v>1.29</v>
      </c>
      <c r="I236">
        <v>1.28</v>
      </c>
      <c r="J236">
        <v>1.29</v>
      </c>
      <c r="K236">
        <v>1.28</v>
      </c>
      <c r="L236">
        <v>1.27</v>
      </c>
      <c r="M236">
        <v>1.26</v>
      </c>
      <c r="N236">
        <v>1.25</v>
      </c>
      <c r="O236">
        <v>1.27</v>
      </c>
      <c r="P236">
        <v>1.27</v>
      </c>
      <c r="Q236">
        <v>1.28</v>
      </c>
      <c r="R236">
        <v>1.29</v>
      </c>
      <c r="S236">
        <v>1.31</v>
      </c>
      <c r="T236">
        <v>1.31</v>
      </c>
      <c r="U236">
        <v>1.33</v>
      </c>
      <c r="V236">
        <v>1.32</v>
      </c>
      <c r="W236">
        <v>1.27</v>
      </c>
    </row>
    <row r="237" spans="1:23" x14ac:dyDescent="0.35">
      <c r="A237" s="2" t="s">
        <v>204</v>
      </c>
      <c r="B237">
        <v>23.71</v>
      </c>
      <c r="C237">
        <v>23.63</v>
      </c>
      <c r="D237">
        <v>23.73</v>
      </c>
      <c r="E237">
        <v>23.87</v>
      </c>
      <c r="F237">
        <v>24.2</v>
      </c>
      <c r="G237">
        <v>24.7</v>
      </c>
      <c r="H237">
        <v>24.78</v>
      </c>
      <c r="I237">
        <v>25.07</v>
      </c>
      <c r="J237">
        <v>25.19</v>
      </c>
      <c r="K237">
        <v>25.21</v>
      </c>
      <c r="L237">
        <v>25.17</v>
      </c>
      <c r="M237">
        <v>24.8</v>
      </c>
      <c r="N237">
        <v>24.86</v>
      </c>
      <c r="O237">
        <v>24.84</v>
      </c>
      <c r="P237">
        <v>25.13</v>
      </c>
      <c r="Q237">
        <v>25.07</v>
      </c>
      <c r="R237">
        <v>25.17</v>
      </c>
      <c r="S237">
        <v>25.17</v>
      </c>
      <c r="T237">
        <v>25.49</v>
      </c>
      <c r="U237">
        <v>25.49</v>
      </c>
      <c r="V237">
        <v>25.35</v>
      </c>
      <c r="W237">
        <v>25.43</v>
      </c>
    </row>
    <row r="238" spans="1:23" x14ac:dyDescent="0.35">
      <c r="A238" s="2" t="s">
        <v>205</v>
      </c>
      <c r="B238">
        <v>6.45</v>
      </c>
      <c r="C238">
        <v>6.52</v>
      </c>
      <c r="D238">
        <v>6.52</v>
      </c>
      <c r="E238">
        <v>6.69</v>
      </c>
      <c r="F238">
        <v>6.84</v>
      </c>
      <c r="G238">
        <v>6.83</v>
      </c>
      <c r="H238">
        <v>6.73</v>
      </c>
      <c r="I238">
        <v>6.94</v>
      </c>
      <c r="J238">
        <v>6.98</v>
      </c>
      <c r="K238">
        <v>7.05</v>
      </c>
      <c r="L238">
        <v>6.75</v>
      </c>
      <c r="M238">
        <v>7</v>
      </c>
      <c r="N238">
        <v>6.92</v>
      </c>
      <c r="O238">
        <v>6.82</v>
      </c>
      <c r="P238">
        <v>6.92</v>
      </c>
      <c r="Q238">
        <v>6.93</v>
      </c>
      <c r="R238">
        <v>6.85</v>
      </c>
      <c r="S238">
        <v>6.85</v>
      </c>
      <c r="T238">
        <v>6.7</v>
      </c>
      <c r="U238">
        <v>6.65</v>
      </c>
      <c r="V238">
        <v>6.75</v>
      </c>
      <c r="W238">
        <v>6.61</v>
      </c>
    </row>
    <row r="239" spans="1:23" x14ac:dyDescent="0.35">
      <c r="A239" s="2" t="s">
        <v>206</v>
      </c>
      <c r="B239">
        <v>0.87</v>
      </c>
      <c r="C239">
        <v>0.87</v>
      </c>
      <c r="D239">
        <v>0.87</v>
      </c>
      <c r="E239">
        <v>0.87</v>
      </c>
      <c r="F239">
        <v>0.87</v>
      </c>
      <c r="G239">
        <v>0.87</v>
      </c>
      <c r="H239">
        <v>0.87</v>
      </c>
      <c r="I239">
        <v>0.86</v>
      </c>
      <c r="J239">
        <v>0.86</v>
      </c>
      <c r="K239">
        <v>0.85</v>
      </c>
      <c r="L239">
        <v>0.86</v>
      </c>
      <c r="M239">
        <v>0.86</v>
      </c>
      <c r="N239">
        <v>0.84</v>
      </c>
      <c r="O239">
        <v>0.84</v>
      </c>
      <c r="P239">
        <v>0.84</v>
      </c>
      <c r="Q239">
        <v>0.83</v>
      </c>
      <c r="R239">
        <v>0.83</v>
      </c>
      <c r="S239">
        <v>0.83</v>
      </c>
      <c r="T239">
        <v>0.82</v>
      </c>
      <c r="U239">
        <v>0.82</v>
      </c>
      <c r="V239">
        <v>0.81</v>
      </c>
      <c r="W239">
        <v>0.82</v>
      </c>
    </row>
    <row r="240" spans="1:23" x14ac:dyDescent="0.35">
      <c r="A240" s="2" t="s">
        <v>207</v>
      </c>
      <c r="B240">
        <v>0.23</v>
      </c>
      <c r="C240">
        <v>0.23</v>
      </c>
      <c r="D240">
        <v>0.25</v>
      </c>
      <c r="E240">
        <v>0.22</v>
      </c>
      <c r="F240">
        <v>0.23</v>
      </c>
      <c r="G240">
        <v>0.2</v>
      </c>
      <c r="H240">
        <v>0.22</v>
      </c>
      <c r="I240">
        <v>0.22</v>
      </c>
      <c r="J240">
        <v>0.22</v>
      </c>
      <c r="K240">
        <v>0.21</v>
      </c>
      <c r="L240">
        <v>0.22</v>
      </c>
      <c r="M240">
        <v>0.21</v>
      </c>
      <c r="N240">
        <v>0.2</v>
      </c>
      <c r="O240">
        <v>0.2</v>
      </c>
      <c r="P240">
        <v>0.2</v>
      </c>
      <c r="Q240">
        <v>0.2</v>
      </c>
      <c r="R240">
        <v>0.18</v>
      </c>
      <c r="S240">
        <v>0.18</v>
      </c>
      <c r="T240">
        <v>0.19</v>
      </c>
      <c r="U240">
        <v>0.2</v>
      </c>
      <c r="V240">
        <v>0.2</v>
      </c>
      <c r="W240">
        <v>0.2</v>
      </c>
    </row>
    <row r="241" spans="1:23" x14ac:dyDescent="0.35">
      <c r="A241" s="2" t="s">
        <v>208</v>
      </c>
      <c r="B241">
        <v>13.16</v>
      </c>
      <c r="C241">
        <v>13.64</v>
      </c>
      <c r="D241">
        <v>14.32</v>
      </c>
      <c r="E241">
        <v>14.73</v>
      </c>
      <c r="F241">
        <v>13.47</v>
      </c>
      <c r="G241">
        <v>13.08</v>
      </c>
      <c r="H241">
        <v>12.84</v>
      </c>
      <c r="I241">
        <v>13.12</v>
      </c>
      <c r="J241">
        <v>12.86</v>
      </c>
      <c r="K241">
        <v>12.37</v>
      </c>
      <c r="L241">
        <v>12.07</v>
      </c>
      <c r="M241">
        <v>11.6</v>
      </c>
      <c r="N241">
        <v>11.54</v>
      </c>
      <c r="O241">
        <v>11.67</v>
      </c>
      <c r="P241">
        <v>11.36</v>
      </c>
      <c r="Q241">
        <v>11.06</v>
      </c>
      <c r="R241">
        <v>10.89</v>
      </c>
      <c r="S241">
        <v>10.31</v>
      </c>
      <c r="T241">
        <v>10.59</v>
      </c>
      <c r="U241">
        <v>10.94</v>
      </c>
      <c r="V241">
        <v>10.93</v>
      </c>
      <c r="W241">
        <v>10.66</v>
      </c>
    </row>
    <row r="242" spans="1:23" x14ac:dyDescent="0.35">
      <c r="A242" s="2" t="s">
        <v>820</v>
      </c>
      <c r="B242">
        <v>206.58</v>
      </c>
      <c r="C242">
        <v>209.72</v>
      </c>
      <c r="D242">
        <v>213.69</v>
      </c>
      <c r="E242">
        <v>222.73</v>
      </c>
      <c r="F242">
        <v>228.07</v>
      </c>
      <c r="G242">
        <v>228.07</v>
      </c>
      <c r="H242">
        <v>226.84</v>
      </c>
      <c r="I242">
        <v>222.18</v>
      </c>
      <c r="J242">
        <v>219.17</v>
      </c>
      <c r="K242">
        <v>218.9</v>
      </c>
      <c r="L242">
        <v>216.43</v>
      </c>
      <c r="M242">
        <v>212.74</v>
      </c>
      <c r="N242">
        <v>208.77</v>
      </c>
      <c r="O242">
        <v>206.3</v>
      </c>
      <c r="P242">
        <v>205.34</v>
      </c>
      <c r="Q242">
        <v>202.88</v>
      </c>
      <c r="R242">
        <v>199.05</v>
      </c>
      <c r="S242">
        <v>193.57</v>
      </c>
      <c r="T242">
        <v>190.42</v>
      </c>
      <c r="U242">
        <v>189.33</v>
      </c>
      <c r="V242">
        <v>190.29</v>
      </c>
      <c r="W242">
        <v>191.38</v>
      </c>
    </row>
    <row r="243" spans="1:23" x14ac:dyDescent="0.35">
      <c r="A243" s="2" t="s">
        <v>209</v>
      </c>
      <c r="B243">
        <v>8.32</v>
      </c>
      <c r="C243">
        <v>8.6199999999999992</v>
      </c>
      <c r="D243">
        <v>9.02</v>
      </c>
      <c r="E243">
        <v>9.69</v>
      </c>
      <c r="F243">
        <v>10.15</v>
      </c>
      <c r="G243">
        <v>10.43</v>
      </c>
      <c r="H243">
        <v>11.07</v>
      </c>
      <c r="I243">
        <v>9.89</v>
      </c>
      <c r="J243">
        <v>9.58</v>
      </c>
      <c r="K243">
        <v>9.2799999999999994</v>
      </c>
      <c r="L243">
        <v>9.4499999999999993</v>
      </c>
      <c r="M243">
        <v>9.0500000000000007</v>
      </c>
      <c r="N243">
        <v>8.7200000000000006</v>
      </c>
      <c r="O243">
        <v>9.09</v>
      </c>
      <c r="P243">
        <v>9.1199999999999992</v>
      </c>
      <c r="Q243">
        <v>8.86</v>
      </c>
      <c r="R243">
        <v>8.3699999999999992</v>
      </c>
      <c r="S243">
        <v>8.1300000000000008</v>
      </c>
      <c r="T243">
        <v>7.98</v>
      </c>
      <c r="U243">
        <v>8.15</v>
      </c>
      <c r="V243">
        <v>8.6199999999999992</v>
      </c>
      <c r="W243">
        <v>8.92</v>
      </c>
    </row>
    <row r="244" spans="1:23" x14ac:dyDescent="0.35">
      <c r="A244" s="2" t="s">
        <v>210</v>
      </c>
      <c r="B244">
        <v>0.99</v>
      </c>
      <c r="C244">
        <v>0.98</v>
      </c>
      <c r="D244">
        <v>0.99</v>
      </c>
      <c r="E244">
        <v>1.02</v>
      </c>
      <c r="F244">
        <v>1.06</v>
      </c>
      <c r="G244">
        <v>1.04</v>
      </c>
      <c r="H244">
        <v>1.01</v>
      </c>
      <c r="I244">
        <v>0.97</v>
      </c>
      <c r="J244">
        <v>0.96</v>
      </c>
      <c r="K244">
        <v>0.94</v>
      </c>
      <c r="L244">
        <v>0.95</v>
      </c>
      <c r="M244">
        <v>0.89</v>
      </c>
      <c r="N244">
        <v>0.88</v>
      </c>
      <c r="O244">
        <v>0.87</v>
      </c>
      <c r="P244">
        <v>0.88</v>
      </c>
      <c r="Q244">
        <v>0.88</v>
      </c>
      <c r="R244">
        <v>0.88</v>
      </c>
      <c r="S244">
        <v>0.87</v>
      </c>
      <c r="T244">
        <v>0.83</v>
      </c>
      <c r="U244">
        <v>0.84</v>
      </c>
      <c r="V244">
        <v>0.89</v>
      </c>
      <c r="W244">
        <v>0.91</v>
      </c>
    </row>
    <row r="245" spans="1:23" x14ac:dyDescent="0.35">
      <c r="A245" s="2" t="s">
        <v>211</v>
      </c>
      <c r="B245">
        <v>5.74</v>
      </c>
      <c r="C245">
        <v>5.82</v>
      </c>
      <c r="D245">
        <v>5.94</v>
      </c>
      <c r="E245">
        <v>5.86</v>
      </c>
      <c r="F245">
        <v>5.84</v>
      </c>
      <c r="G245">
        <v>5.83</v>
      </c>
      <c r="H245">
        <v>5.81</v>
      </c>
      <c r="I245">
        <v>5.82</v>
      </c>
      <c r="J245">
        <v>5.86</v>
      </c>
      <c r="K245">
        <v>5.96</v>
      </c>
      <c r="L245">
        <v>5.87</v>
      </c>
      <c r="M245">
        <v>5.43</v>
      </c>
      <c r="N245">
        <v>5.34</v>
      </c>
      <c r="O245">
        <v>5.36</v>
      </c>
      <c r="P245">
        <v>5.66</v>
      </c>
      <c r="Q245">
        <v>5.67</v>
      </c>
      <c r="R245">
        <v>5.67</v>
      </c>
      <c r="S245">
        <v>5.4</v>
      </c>
      <c r="T245">
        <v>5.15</v>
      </c>
      <c r="U245">
        <v>5.39</v>
      </c>
      <c r="V245">
        <v>5.5</v>
      </c>
      <c r="W245">
        <v>5.4</v>
      </c>
    </row>
    <row r="246" spans="1:23" x14ac:dyDescent="0.35">
      <c r="A246" s="2" t="s">
        <v>212</v>
      </c>
      <c r="B246">
        <v>4.4400000000000004</v>
      </c>
      <c r="C246">
        <v>4.46</v>
      </c>
      <c r="D246">
        <v>4.59</v>
      </c>
      <c r="E246">
        <v>5.04</v>
      </c>
      <c r="F246">
        <v>5.73</v>
      </c>
      <c r="G246">
        <v>5.72</v>
      </c>
      <c r="H246">
        <v>5.15</v>
      </c>
      <c r="I246">
        <v>5.0999999999999996</v>
      </c>
      <c r="J246">
        <v>5.05</v>
      </c>
      <c r="K246">
        <v>5.0999999999999996</v>
      </c>
      <c r="L246">
        <v>5.18</v>
      </c>
      <c r="M246">
        <v>5.09</v>
      </c>
      <c r="N246">
        <v>5.0599999999999996</v>
      </c>
      <c r="O246">
        <v>4.84</v>
      </c>
      <c r="P246">
        <v>4.55</v>
      </c>
      <c r="Q246">
        <v>4.41</v>
      </c>
      <c r="R246">
        <v>4.4000000000000004</v>
      </c>
      <c r="S246">
        <v>4.09</v>
      </c>
      <c r="T246">
        <v>3.7</v>
      </c>
      <c r="U246">
        <v>3.39</v>
      </c>
      <c r="V246">
        <v>3.4</v>
      </c>
      <c r="W246">
        <v>3.55</v>
      </c>
    </row>
    <row r="247" spans="1:23" x14ac:dyDescent="0.35">
      <c r="A247" s="2" t="s">
        <v>213</v>
      </c>
      <c r="B247">
        <v>5.94</v>
      </c>
      <c r="C247">
        <v>6.28</v>
      </c>
      <c r="D247">
        <v>6.62</v>
      </c>
      <c r="E247">
        <v>7.09</v>
      </c>
      <c r="F247">
        <v>7.34</v>
      </c>
      <c r="G247">
        <v>7.4</v>
      </c>
      <c r="H247">
        <v>6.9</v>
      </c>
      <c r="I247">
        <v>5.68</v>
      </c>
      <c r="J247">
        <v>4.55</v>
      </c>
      <c r="K247">
        <v>4.29</v>
      </c>
      <c r="L247">
        <v>4.2300000000000004</v>
      </c>
      <c r="M247">
        <v>4.18</v>
      </c>
      <c r="N247">
        <v>4.18</v>
      </c>
      <c r="O247">
        <v>4.0599999999999996</v>
      </c>
      <c r="P247">
        <v>3.95</v>
      </c>
      <c r="Q247">
        <v>3.81</v>
      </c>
      <c r="R247">
        <v>3.7</v>
      </c>
      <c r="S247">
        <v>3.47</v>
      </c>
      <c r="T247">
        <v>3.3</v>
      </c>
      <c r="U247">
        <v>3.13</v>
      </c>
      <c r="V247">
        <v>3.33</v>
      </c>
      <c r="W247">
        <v>3.53</v>
      </c>
    </row>
    <row r="248" spans="1:23" x14ac:dyDescent="0.35">
      <c r="A248" s="2" t="s">
        <v>214</v>
      </c>
      <c r="B248">
        <v>9.6</v>
      </c>
      <c r="C248">
        <v>9.73</v>
      </c>
      <c r="D248">
        <v>9.92</v>
      </c>
      <c r="E248">
        <v>10.28</v>
      </c>
      <c r="F248">
        <v>10.51</v>
      </c>
      <c r="G248">
        <v>10.5</v>
      </c>
      <c r="H248">
        <v>10.79</v>
      </c>
      <c r="I248">
        <v>10.74</v>
      </c>
      <c r="J248">
        <v>10.74</v>
      </c>
      <c r="K248">
        <v>10.57</v>
      </c>
      <c r="L248">
        <v>10.53</v>
      </c>
      <c r="M248">
        <v>10.43</v>
      </c>
      <c r="N248">
        <v>10.49</v>
      </c>
      <c r="O248">
        <v>10.45</v>
      </c>
      <c r="P248">
        <v>10.47</v>
      </c>
      <c r="Q248">
        <v>10.25</v>
      </c>
      <c r="R248">
        <v>10.19</v>
      </c>
      <c r="S248">
        <v>9.99</v>
      </c>
      <c r="T248">
        <v>9.9499999999999993</v>
      </c>
      <c r="U248">
        <v>9.82</v>
      </c>
      <c r="V248">
        <v>9.8800000000000008</v>
      </c>
      <c r="W248">
        <v>9.93</v>
      </c>
    </row>
    <row r="249" spans="1:23" x14ac:dyDescent="0.35">
      <c r="A249" s="2" t="s">
        <v>215</v>
      </c>
      <c r="B249">
        <v>4.42</v>
      </c>
      <c r="C249">
        <v>4.55</v>
      </c>
      <c r="D249">
        <v>4.7</v>
      </c>
      <c r="E249">
        <v>4.7300000000000004</v>
      </c>
      <c r="F249">
        <v>4.9800000000000004</v>
      </c>
      <c r="G249">
        <v>5.01</v>
      </c>
      <c r="H249">
        <v>5.12</v>
      </c>
      <c r="I249">
        <v>5.35</v>
      </c>
      <c r="J249">
        <v>5.21</v>
      </c>
      <c r="K249">
        <v>5.18</v>
      </c>
      <c r="L249">
        <v>5.17</v>
      </c>
      <c r="M249">
        <v>4.8899999999999997</v>
      </c>
      <c r="N249">
        <v>4.75</v>
      </c>
      <c r="O249">
        <v>4.5599999999999996</v>
      </c>
      <c r="P249">
        <v>4.32</v>
      </c>
      <c r="Q249">
        <v>4.17</v>
      </c>
      <c r="R249">
        <v>4.08</v>
      </c>
      <c r="S249">
        <v>4.0599999999999996</v>
      </c>
      <c r="T249">
        <v>4.2</v>
      </c>
      <c r="U249">
        <v>4.25</v>
      </c>
      <c r="V249">
        <v>4.3099999999999996</v>
      </c>
      <c r="W249">
        <v>4.0199999999999996</v>
      </c>
    </row>
    <row r="250" spans="1:23" x14ac:dyDescent="0.35">
      <c r="A250" s="2" t="s">
        <v>216</v>
      </c>
      <c r="B250">
        <v>0.57999999999999996</v>
      </c>
      <c r="C250">
        <v>0.57999999999999996</v>
      </c>
      <c r="D250">
        <v>0.57999999999999996</v>
      </c>
      <c r="E250">
        <v>0.59</v>
      </c>
      <c r="F250">
        <v>0.62</v>
      </c>
      <c r="G250">
        <v>0.62</v>
      </c>
      <c r="H250">
        <v>0.62</v>
      </c>
      <c r="I250">
        <v>0.61</v>
      </c>
      <c r="J250">
        <v>0.61</v>
      </c>
      <c r="K250">
        <v>0.61</v>
      </c>
      <c r="L250">
        <v>0.61</v>
      </c>
      <c r="M250">
        <v>0.61</v>
      </c>
      <c r="N250">
        <v>0.61</v>
      </c>
      <c r="O250">
        <v>0.61</v>
      </c>
      <c r="P250">
        <v>0.61</v>
      </c>
      <c r="Q250">
        <v>0.61</v>
      </c>
      <c r="R250">
        <v>0.61</v>
      </c>
      <c r="S250">
        <v>0.61</v>
      </c>
      <c r="T250">
        <v>0.61</v>
      </c>
      <c r="U250">
        <v>0.61</v>
      </c>
      <c r="V250">
        <v>0.61</v>
      </c>
      <c r="W250">
        <v>0.61</v>
      </c>
    </row>
    <row r="251" spans="1:23" x14ac:dyDescent="0.35">
      <c r="A251" s="2" t="s">
        <v>821</v>
      </c>
      <c r="B251">
        <v>131.69999999999999</v>
      </c>
      <c r="C251">
        <v>134.6</v>
      </c>
      <c r="D251">
        <v>140.11000000000001</v>
      </c>
      <c r="E251">
        <v>143.58000000000001</v>
      </c>
      <c r="F251">
        <v>142.16999999999999</v>
      </c>
      <c r="G251">
        <v>141.05000000000001</v>
      </c>
      <c r="H251">
        <v>136.75</v>
      </c>
      <c r="I251">
        <v>133.47</v>
      </c>
      <c r="J251">
        <v>132.63</v>
      </c>
      <c r="K251">
        <v>131.51</v>
      </c>
      <c r="L251">
        <v>128.41999999999999</v>
      </c>
      <c r="M251">
        <v>127.58</v>
      </c>
      <c r="N251">
        <v>129.08000000000001</v>
      </c>
      <c r="O251">
        <v>131.32</v>
      </c>
      <c r="P251">
        <v>129.55000000000001</v>
      </c>
      <c r="Q251">
        <v>128.33000000000001</v>
      </c>
      <c r="R251">
        <v>126.65</v>
      </c>
      <c r="S251">
        <v>124.4</v>
      </c>
      <c r="T251">
        <v>122.34</v>
      </c>
      <c r="U251">
        <v>124.21</v>
      </c>
      <c r="V251">
        <v>124.21</v>
      </c>
      <c r="W251">
        <v>123</v>
      </c>
    </row>
    <row r="252" spans="1:23" x14ac:dyDescent="0.35">
      <c r="A252" s="2" t="s">
        <v>217</v>
      </c>
      <c r="B252">
        <v>25.69</v>
      </c>
      <c r="C252">
        <v>26.73</v>
      </c>
      <c r="D252">
        <v>28.79</v>
      </c>
      <c r="E252">
        <v>29.83</v>
      </c>
      <c r="F252">
        <v>27.53</v>
      </c>
      <c r="G252">
        <v>27.03</v>
      </c>
      <c r="H252">
        <v>25.48</v>
      </c>
      <c r="I252">
        <v>24.85</v>
      </c>
      <c r="J252">
        <v>24.9</v>
      </c>
      <c r="K252">
        <v>24.49</v>
      </c>
      <c r="L252">
        <v>23.4</v>
      </c>
      <c r="M252">
        <v>23.47</v>
      </c>
      <c r="N252">
        <v>23.96</v>
      </c>
      <c r="O252">
        <v>25.07</v>
      </c>
      <c r="P252">
        <v>24.79</v>
      </c>
      <c r="Q252">
        <v>24.19</v>
      </c>
      <c r="R252">
        <v>23.72</v>
      </c>
      <c r="S252">
        <v>22.61</v>
      </c>
      <c r="T252">
        <v>22.23</v>
      </c>
      <c r="U252">
        <v>23.47</v>
      </c>
      <c r="V252">
        <v>23.94</v>
      </c>
      <c r="W252">
        <v>23.85</v>
      </c>
    </row>
    <row r="253" spans="1:23" x14ac:dyDescent="0.35">
      <c r="A253" s="2" t="s">
        <v>218</v>
      </c>
      <c r="B253">
        <v>12.36</v>
      </c>
      <c r="C253">
        <v>12.51</v>
      </c>
      <c r="D253">
        <v>12.75</v>
      </c>
      <c r="E253">
        <v>12.76</v>
      </c>
      <c r="F253">
        <v>12.47</v>
      </c>
      <c r="G253">
        <v>12.16</v>
      </c>
      <c r="H253">
        <v>11.63</v>
      </c>
      <c r="I253">
        <v>11.42</v>
      </c>
      <c r="J253">
        <v>10.29</v>
      </c>
      <c r="K253">
        <v>10.29</v>
      </c>
      <c r="L253">
        <v>9.8000000000000007</v>
      </c>
      <c r="M253">
        <v>10.130000000000001</v>
      </c>
      <c r="N253">
        <v>10.44</v>
      </c>
      <c r="O253">
        <v>10.52</v>
      </c>
      <c r="P253">
        <v>10.31</v>
      </c>
      <c r="Q253">
        <v>10.220000000000001</v>
      </c>
      <c r="R253">
        <v>10.02</v>
      </c>
      <c r="S253">
        <v>10</v>
      </c>
      <c r="T253">
        <v>9.9700000000000006</v>
      </c>
      <c r="U253">
        <v>10.050000000000001</v>
      </c>
      <c r="V253">
        <v>10.050000000000001</v>
      </c>
      <c r="W253">
        <v>9.74</v>
      </c>
    </row>
    <row r="254" spans="1:23" x14ac:dyDescent="0.35">
      <c r="A254" s="2" t="s">
        <v>219</v>
      </c>
      <c r="B254">
        <v>9.1</v>
      </c>
      <c r="C254">
        <v>9.3000000000000007</v>
      </c>
      <c r="D254">
        <v>9.36</v>
      </c>
      <c r="E254">
        <v>9.35</v>
      </c>
      <c r="F254">
        <v>9.2799999999999994</v>
      </c>
      <c r="G254">
        <v>9.41</v>
      </c>
      <c r="H254">
        <v>9.27</v>
      </c>
      <c r="I254">
        <v>9.0500000000000007</v>
      </c>
      <c r="J254">
        <v>8.92</v>
      </c>
      <c r="K254">
        <v>8.8699999999999992</v>
      </c>
      <c r="L254">
        <v>8.91</v>
      </c>
      <c r="M254">
        <v>8.86</v>
      </c>
      <c r="N254">
        <v>9.0500000000000007</v>
      </c>
      <c r="O254">
        <v>9.0399999999999991</v>
      </c>
      <c r="P254">
        <v>8.67</v>
      </c>
      <c r="Q254">
        <v>8.9700000000000006</v>
      </c>
      <c r="R254">
        <v>8.89</v>
      </c>
      <c r="S254">
        <v>8.8000000000000007</v>
      </c>
      <c r="T254">
        <v>8.9499999999999993</v>
      </c>
      <c r="U254">
        <v>9.4</v>
      </c>
      <c r="V254">
        <v>9.44</v>
      </c>
      <c r="W254">
        <v>9.31</v>
      </c>
    </row>
    <row r="255" spans="1:23" x14ac:dyDescent="0.35">
      <c r="A255" s="2" t="s">
        <v>220</v>
      </c>
      <c r="B255">
        <v>12.37</v>
      </c>
      <c r="C255">
        <v>12.42</v>
      </c>
      <c r="D255">
        <v>12.65</v>
      </c>
      <c r="E255">
        <v>12.93</v>
      </c>
      <c r="F255">
        <v>13.17</v>
      </c>
      <c r="G255">
        <v>13.08</v>
      </c>
      <c r="H255">
        <v>13.01</v>
      </c>
      <c r="I255">
        <v>12.8</v>
      </c>
      <c r="J255">
        <v>12.81</v>
      </c>
      <c r="K255">
        <v>12.77</v>
      </c>
      <c r="L255">
        <v>12.58</v>
      </c>
      <c r="M255">
        <v>12.43</v>
      </c>
      <c r="N255">
        <v>12.45</v>
      </c>
      <c r="O255">
        <v>12.48</v>
      </c>
      <c r="P255">
        <v>12.47</v>
      </c>
      <c r="Q255">
        <v>12.43</v>
      </c>
      <c r="R255">
        <v>12.46</v>
      </c>
      <c r="S255">
        <v>12.46</v>
      </c>
      <c r="T255">
        <v>12.24</v>
      </c>
      <c r="U255">
        <v>12.22</v>
      </c>
      <c r="V255">
        <v>12.21</v>
      </c>
      <c r="W255">
        <v>12.14</v>
      </c>
    </row>
    <row r="256" spans="1:23" x14ac:dyDescent="0.35">
      <c r="A256" s="2" t="s">
        <v>221</v>
      </c>
      <c r="B256">
        <v>1.1200000000000001</v>
      </c>
      <c r="C256">
        <v>1.1299999999999999</v>
      </c>
      <c r="D256">
        <v>1.1299999999999999</v>
      </c>
      <c r="E256">
        <v>1.1299999999999999</v>
      </c>
      <c r="F256">
        <v>1.1299999999999999</v>
      </c>
      <c r="G256">
        <v>1.1399999999999999</v>
      </c>
      <c r="H256">
        <v>1.1399999999999999</v>
      </c>
      <c r="I256">
        <v>1.1399999999999999</v>
      </c>
      <c r="J256">
        <v>1.1399999999999999</v>
      </c>
      <c r="K256">
        <v>1.1399999999999999</v>
      </c>
      <c r="L256">
        <v>1.1399999999999999</v>
      </c>
      <c r="M256">
        <v>1.1499999999999999</v>
      </c>
      <c r="N256">
        <v>1.1499999999999999</v>
      </c>
      <c r="O256">
        <v>1.1499999999999999</v>
      </c>
      <c r="P256">
        <v>1.1599999999999999</v>
      </c>
      <c r="Q256">
        <v>1.1499999999999999</v>
      </c>
      <c r="R256">
        <v>1.1499999999999999</v>
      </c>
      <c r="S256">
        <v>1.1499999999999999</v>
      </c>
      <c r="T256">
        <v>1.1499999999999999</v>
      </c>
      <c r="U256">
        <v>1.1599999999999999</v>
      </c>
      <c r="V256">
        <v>1.1599999999999999</v>
      </c>
      <c r="W256">
        <v>1.1499999999999999</v>
      </c>
    </row>
    <row r="257" spans="1:23" x14ac:dyDescent="0.35">
      <c r="A257" s="2" t="s">
        <v>222</v>
      </c>
      <c r="B257">
        <v>1.54</v>
      </c>
      <c r="C257">
        <v>1.54</v>
      </c>
      <c r="D257">
        <v>1.53</v>
      </c>
      <c r="E257">
        <v>1.54</v>
      </c>
      <c r="F257">
        <v>1.57</v>
      </c>
      <c r="G257">
        <v>1.55</v>
      </c>
      <c r="H257">
        <v>1.59</v>
      </c>
      <c r="I257">
        <v>1.58</v>
      </c>
      <c r="J257">
        <v>1.61</v>
      </c>
      <c r="K257">
        <v>1.62</v>
      </c>
      <c r="L257">
        <v>1.61</v>
      </c>
      <c r="M257">
        <v>1.65</v>
      </c>
      <c r="N257">
        <v>1.6</v>
      </c>
      <c r="O257">
        <v>1.56</v>
      </c>
      <c r="P257">
        <v>1.56</v>
      </c>
      <c r="Q257">
        <v>1.6</v>
      </c>
      <c r="R257">
        <v>1.58</v>
      </c>
      <c r="S257">
        <v>1.58</v>
      </c>
      <c r="T257">
        <v>1.59</v>
      </c>
      <c r="U257">
        <v>1.6</v>
      </c>
      <c r="V257">
        <v>1.57</v>
      </c>
      <c r="W257">
        <v>1.57</v>
      </c>
    </row>
    <row r="258" spans="1:23" x14ac:dyDescent="0.35">
      <c r="A258" s="2" t="s">
        <v>223</v>
      </c>
      <c r="B258">
        <v>1.06</v>
      </c>
      <c r="C258">
        <v>1.1499999999999999</v>
      </c>
      <c r="D258">
        <v>1.19</v>
      </c>
      <c r="E258">
        <v>1.1599999999999999</v>
      </c>
      <c r="F258">
        <v>1.1299999999999999</v>
      </c>
      <c r="G258">
        <v>1.1299999999999999</v>
      </c>
      <c r="H258">
        <v>1.1000000000000001</v>
      </c>
      <c r="I258">
        <v>1.02</v>
      </c>
      <c r="J258">
        <v>1.04</v>
      </c>
      <c r="K258">
        <v>1.05</v>
      </c>
      <c r="L258">
        <v>1.01</v>
      </c>
      <c r="M258">
        <v>1</v>
      </c>
      <c r="N258">
        <v>1.01</v>
      </c>
      <c r="O258">
        <v>1.05</v>
      </c>
      <c r="P258">
        <v>1.05</v>
      </c>
      <c r="Q258">
        <v>1.03</v>
      </c>
      <c r="R258">
        <v>1.03</v>
      </c>
      <c r="S258">
        <v>1.01</v>
      </c>
      <c r="T258">
        <v>0.94</v>
      </c>
      <c r="U258">
        <v>0.97</v>
      </c>
      <c r="V258">
        <v>1.01</v>
      </c>
      <c r="W258">
        <v>1</v>
      </c>
    </row>
    <row r="259" spans="1:23" x14ac:dyDescent="0.35">
      <c r="A259" s="2" t="s">
        <v>224</v>
      </c>
      <c r="B259">
        <v>2.77</v>
      </c>
      <c r="C259">
        <v>2.78</v>
      </c>
      <c r="D259">
        <v>2.76</v>
      </c>
      <c r="E259">
        <v>2.73</v>
      </c>
      <c r="F259">
        <v>2.76</v>
      </c>
      <c r="G259">
        <v>2.77</v>
      </c>
      <c r="H259">
        <v>2.79</v>
      </c>
      <c r="I259">
        <v>2.81</v>
      </c>
      <c r="J259">
        <v>2.82</v>
      </c>
      <c r="K259">
        <v>2.86</v>
      </c>
      <c r="L259">
        <v>2.88</v>
      </c>
      <c r="M259">
        <v>2.92</v>
      </c>
      <c r="N259">
        <v>2.94</v>
      </c>
      <c r="O259">
        <v>2.96</v>
      </c>
      <c r="P259">
        <v>2.97</v>
      </c>
      <c r="Q259">
        <v>2.97</v>
      </c>
      <c r="R259">
        <v>2.96</v>
      </c>
      <c r="S259">
        <v>2.95</v>
      </c>
      <c r="T259">
        <v>2.96</v>
      </c>
      <c r="U259">
        <v>3.01</v>
      </c>
      <c r="V259">
        <v>3</v>
      </c>
      <c r="W259">
        <v>2.98</v>
      </c>
    </row>
    <row r="260" spans="1:23" x14ac:dyDescent="0.35">
      <c r="A260" s="2" t="s">
        <v>225</v>
      </c>
      <c r="B260">
        <v>3</v>
      </c>
      <c r="C260">
        <v>3.09</v>
      </c>
      <c r="D260">
        <v>2.89</v>
      </c>
      <c r="E260">
        <v>3.04</v>
      </c>
      <c r="F260">
        <v>3</v>
      </c>
      <c r="G260">
        <v>3.09</v>
      </c>
      <c r="H260">
        <v>3</v>
      </c>
      <c r="I260">
        <v>2.98</v>
      </c>
      <c r="J260">
        <v>2.94</v>
      </c>
      <c r="K260">
        <v>2.85</v>
      </c>
      <c r="L260">
        <v>2.95</v>
      </c>
      <c r="M260">
        <v>2.97</v>
      </c>
      <c r="N260">
        <v>2.97</v>
      </c>
      <c r="O260">
        <v>2.92</v>
      </c>
      <c r="P260">
        <v>2.94</v>
      </c>
      <c r="Q260">
        <v>3</v>
      </c>
      <c r="R260">
        <v>2.98</v>
      </c>
      <c r="S260">
        <v>2.92</v>
      </c>
      <c r="T260">
        <v>2.97</v>
      </c>
      <c r="U260">
        <v>3.01</v>
      </c>
      <c r="V260">
        <v>2.97</v>
      </c>
      <c r="W260">
        <v>2.93</v>
      </c>
    </row>
    <row r="261" spans="1:23" x14ac:dyDescent="0.35">
      <c r="A261" s="2" t="s">
        <v>226</v>
      </c>
      <c r="B261">
        <v>0.06</v>
      </c>
      <c r="C261">
        <v>7.0000000000000007E-2</v>
      </c>
      <c r="D261">
        <v>7.0000000000000007E-2</v>
      </c>
      <c r="E261">
        <v>7.0000000000000007E-2</v>
      </c>
      <c r="F261">
        <v>7.0000000000000007E-2</v>
      </c>
      <c r="G261">
        <v>7.0000000000000007E-2</v>
      </c>
      <c r="H261">
        <v>7.0000000000000007E-2</v>
      </c>
      <c r="I261">
        <v>0.08</v>
      </c>
      <c r="J261">
        <v>0.08</v>
      </c>
      <c r="K261">
        <v>0.08</v>
      </c>
      <c r="L261">
        <v>0.08</v>
      </c>
      <c r="M261">
        <v>0.08</v>
      </c>
      <c r="N261">
        <v>0.08</v>
      </c>
      <c r="O261">
        <v>0.08</v>
      </c>
      <c r="P261">
        <v>0.08</v>
      </c>
      <c r="Q261">
        <v>0.08</v>
      </c>
      <c r="R261">
        <v>0.08</v>
      </c>
      <c r="S261">
        <v>0.08</v>
      </c>
      <c r="T261">
        <v>0.08</v>
      </c>
      <c r="U261">
        <v>0.08</v>
      </c>
      <c r="V261">
        <v>0.08</v>
      </c>
      <c r="W261">
        <v>0.08</v>
      </c>
    </row>
    <row r="262" spans="1:23" x14ac:dyDescent="0.35">
      <c r="A262" s="2" t="s">
        <v>227</v>
      </c>
      <c r="B262">
        <v>6.31</v>
      </c>
      <c r="C262">
        <v>5.94</v>
      </c>
      <c r="D262">
        <v>5.96</v>
      </c>
      <c r="E262">
        <v>5.99</v>
      </c>
      <c r="F262">
        <v>5.99</v>
      </c>
      <c r="G262">
        <v>6.01</v>
      </c>
      <c r="H262">
        <v>6.01</v>
      </c>
      <c r="I262">
        <v>6.15</v>
      </c>
      <c r="J262">
        <v>6.13</v>
      </c>
      <c r="K262">
        <v>6.13</v>
      </c>
      <c r="L262">
        <v>6.13</v>
      </c>
      <c r="M262">
        <v>6.18</v>
      </c>
      <c r="N262">
        <v>6.18</v>
      </c>
      <c r="O262">
        <v>6.19</v>
      </c>
      <c r="P262">
        <v>6.19</v>
      </c>
      <c r="Q262">
        <v>6.19</v>
      </c>
      <c r="R262">
        <v>6.19</v>
      </c>
      <c r="S262">
        <v>6.34</v>
      </c>
      <c r="T262">
        <v>6.34</v>
      </c>
      <c r="U262">
        <v>6.34</v>
      </c>
      <c r="V262">
        <v>6.5</v>
      </c>
      <c r="W262">
        <v>6.5</v>
      </c>
    </row>
    <row r="263" spans="1:23" x14ac:dyDescent="0.35">
      <c r="A263" s="2" t="s">
        <v>228</v>
      </c>
      <c r="B263">
        <v>0.91</v>
      </c>
      <c r="C263">
        <v>0.91</v>
      </c>
      <c r="D263">
        <v>0.91</v>
      </c>
      <c r="E263">
        <v>0.94</v>
      </c>
      <c r="F263">
        <v>0.94</v>
      </c>
      <c r="G263">
        <v>0.94</v>
      </c>
      <c r="H263">
        <v>0.94</v>
      </c>
      <c r="I263">
        <v>0.95</v>
      </c>
      <c r="J263">
        <v>0.95</v>
      </c>
      <c r="K263">
        <v>0.95</v>
      </c>
      <c r="L263">
        <v>0.96</v>
      </c>
      <c r="M263">
        <v>0.96</v>
      </c>
      <c r="N263">
        <v>0.99</v>
      </c>
      <c r="O263">
        <v>0.98</v>
      </c>
      <c r="P263">
        <v>0.99</v>
      </c>
      <c r="Q263">
        <v>0.99</v>
      </c>
      <c r="R263">
        <v>0.98</v>
      </c>
      <c r="S263">
        <v>0.98</v>
      </c>
      <c r="T263">
        <v>0.98</v>
      </c>
      <c r="U263">
        <v>0.99</v>
      </c>
      <c r="V263">
        <v>0.98</v>
      </c>
      <c r="W263">
        <v>0.99</v>
      </c>
    </row>
    <row r="264" spans="1:23" x14ac:dyDescent="0.35">
      <c r="A264" s="2" t="s">
        <v>229</v>
      </c>
      <c r="B264">
        <v>11.77</v>
      </c>
      <c r="C264">
        <v>12.01</v>
      </c>
      <c r="D264">
        <v>12.04</v>
      </c>
      <c r="E264">
        <v>12.15</v>
      </c>
      <c r="F264">
        <v>12.2</v>
      </c>
      <c r="G264">
        <v>12.08</v>
      </c>
      <c r="H264">
        <v>12.17</v>
      </c>
      <c r="I264">
        <v>11.99</v>
      </c>
      <c r="J264">
        <v>11.67</v>
      </c>
      <c r="K264">
        <v>11.54</v>
      </c>
      <c r="L264">
        <v>11.86</v>
      </c>
      <c r="M264">
        <v>11.97</v>
      </c>
      <c r="N264">
        <v>12.14</v>
      </c>
      <c r="O264">
        <v>11.82</v>
      </c>
      <c r="P264">
        <v>11.44</v>
      </c>
      <c r="Q264">
        <v>11.8</v>
      </c>
      <c r="R264">
        <v>11.72</v>
      </c>
      <c r="S264">
        <v>11.51</v>
      </c>
      <c r="T264">
        <v>11.65</v>
      </c>
      <c r="U264">
        <v>11.52</v>
      </c>
      <c r="V264">
        <v>11.74</v>
      </c>
      <c r="W264">
        <v>11.51</v>
      </c>
    </row>
    <row r="265" spans="1:23" x14ac:dyDescent="0.35">
      <c r="A265" s="2" t="s">
        <v>230</v>
      </c>
      <c r="B265">
        <v>5.46</v>
      </c>
      <c r="C265">
        <v>5.46</v>
      </c>
      <c r="D265">
        <v>6.12</v>
      </c>
      <c r="E265">
        <v>6.12</v>
      </c>
      <c r="F265">
        <v>6.12</v>
      </c>
      <c r="G265">
        <v>6.25</v>
      </c>
      <c r="H265">
        <v>6.25</v>
      </c>
      <c r="I265">
        <v>6.25</v>
      </c>
      <c r="J265">
        <v>6.25</v>
      </c>
      <c r="K265">
        <v>6.25</v>
      </c>
      <c r="L265">
        <v>6.25</v>
      </c>
      <c r="M265">
        <v>6.25</v>
      </c>
      <c r="N265">
        <v>6.23</v>
      </c>
      <c r="O265">
        <v>6.23</v>
      </c>
      <c r="P265">
        <v>6.23</v>
      </c>
      <c r="Q265">
        <v>6.29</v>
      </c>
      <c r="R265">
        <v>6.11</v>
      </c>
      <c r="S265">
        <v>6.11</v>
      </c>
      <c r="T265">
        <v>6.27</v>
      </c>
      <c r="U265">
        <v>6.3</v>
      </c>
      <c r="V265">
        <v>6.29</v>
      </c>
      <c r="W265">
        <v>6.29</v>
      </c>
    </row>
    <row r="266" spans="1:23" x14ac:dyDescent="0.35">
      <c r="A266" s="2" t="s">
        <v>231</v>
      </c>
      <c r="B266">
        <v>0.46</v>
      </c>
      <c r="C266">
        <v>0.45</v>
      </c>
      <c r="D266">
        <v>0.45</v>
      </c>
      <c r="E266">
        <v>0.46</v>
      </c>
      <c r="F266">
        <v>0.47</v>
      </c>
      <c r="G266">
        <v>0.47</v>
      </c>
      <c r="H266">
        <v>0.47</v>
      </c>
      <c r="I266">
        <v>0.47</v>
      </c>
      <c r="J266">
        <v>0.48</v>
      </c>
      <c r="K266">
        <v>0.48</v>
      </c>
      <c r="L266">
        <v>0.48</v>
      </c>
      <c r="M266">
        <v>0.49</v>
      </c>
      <c r="N266">
        <v>0.47</v>
      </c>
      <c r="O266">
        <v>0.48</v>
      </c>
      <c r="P266">
        <v>0.49</v>
      </c>
      <c r="Q266">
        <v>0.48</v>
      </c>
      <c r="R266">
        <v>0.48</v>
      </c>
      <c r="S266">
        <v>0.48</v>
      </c>
      <c r="T266">
        <v>0.48</v>
      </c>
      <c r="U266">
        <v>0.48</v>
      </c>
      <c r="V266">
        <v>0.48</v>
      </c>
      <c r="W266">
        <v>0.47</v>
      </c>
    </row>
    <row r="267" spans="1:23" x14ac:dyDescent="0.35">
      <c r="A267" s="2" t="s">
        <v>232</v>
      </c>
      <c r="B267">
        <v>2.54</v>
      </c>
      <c r="C267">
        <v>2.5299999999999998</v>
      </c>
      <c r="D267">
        <v>2.5299999999999998</v>
      </c>
      <c r="E267">
        <v>2.54</v>
      </c>
      <c r="F267">
        <v>2.56</v>
      </c>
      <c r="G267">
        <v>2.61</v>
      </c>
      <c r="H267">
        <v>2.62</v>
      </c>
      <c r="I267">
        <v>2.6</v>
      </c>
      <c r="J267">
        <v>2.61</v>
      </c>
      <c r="K267">
        <v>2.61</v>
      </c>
      <c r="L267">
        <v>2.62</v>
      </c>
      <c r="M267">
        <v>2.63</v>
      </c>
      <c r="N267">
        <v>2.66</v>
      </c>
      <c r="O267">
        <v>2.64</v>
      </c>
      <c r="P267">
        <v>2.66</v>
      </c>
      <c r="Q267">
        <v>2.66</v>
      </c>
      <c r="R267">
        <v>2.66</v>
      </c>
      <c r="S267">
        <v>2.67</v>
      </c>
      <c r="T267">
        <v>2.67</v>
      </c>
      <c r="U267">
        <v>2.69</v>
      </c>
      <c r="V267">
        <v>2.68</v>
      </c>
      <c r="W267">
        <v>2.69</v>
      </c>
    </row>
    <row r="268" spans="1:23" x14ac:dyDescent="0.35">
      <c r="A268" s="2" t="s">
        <v>233</v>
      </c>
      <c r="B268">
        <v>1.48</v>
      </c>
      <c r="C268">
        <v>1.48</v>
      </c>
      <c r="D268">
        <v>1.48</v>
      </c>
      <c r="E268">
        <v>1.55</v>
      </c>
      <c r="F268">
        <v>1.55</v>
      </c>
      <c r="G268">
        <v>1.53</v>
      </c>
      <c r="H268">
        <v>1.53</v>
      </c>
      <c r="I268">
        <v>1.67</v>
      </c>
      <c r="J268">
        <v>1.7</v>
      </c>
      <c r="K268">
        <v>1.7</v>
      </c>
      <c r="L268">
        <v>1.7</v>
      </c>
      <c r="M268">
        <v>1.7</v>
      </c>
      <c r="N268">
        <v>1.71</v>
      </c>
      <c r="O268">
        <v>1.72</v>
      </c>
      <c r="P268">
        <v>1.71</v>
      </c>
      <c r="Q268">
        <v>1.73</v>
      </c>
      <c r="R268">
        <v>1.73</v>
      </c>
      <c r="S268">
        <v>1.73</v>
      </c>
      <c r="T268">
        <v>1.73</v>
      </c>
      <c r="U268">
        <v>1.73</v>
      </c>
      <c r="V268">
        <v>1.72</v>
      </c>
      <c r="W268">
        <v>1.72</v>
      </c>
    </row>
    <row r="269" spans="1:23" x14ac:dyDescent="0.35">
      <c r="A269" s="2" t="s">
        <v>234</v>
      </c>
      <c r="B269">
        <v>4.07</v>
      </c>
      <c r="C269">
        <v>4.08</v>
      </c>
      <c r="D269">
        <v>4.16</v>
      </c>
      <c r="E269">
        <v>4.16</v>
      </c>
      <c r="F269">
        <v>4.22</v>
      </c>
      <c r="G269">
        <v>4.16</v>
      </c>
      <c r="H269">
        <v>4.21</v>
      </c>
      <c r="I269">
        <v>4.21</v>
      </c>
      <c r="J269">
        <v>4.21</v>
      </c>
      <c r="K269">
        <v>4.21</v>
      </c>
      <c r="L269">
        <v>4.1900000000000004</v>
      </c>
      <c r="M269">
        <v>4.1900000000000004</v>
      </c>
      <c r="N269">
        <v>4.16</v>
      </c>
      <c r="O269">
        <v>4.17</v>
      </c>
      <c r="P269">
        <v>4.21</v>
      </c>
      <c r="Q269">
        <v>4.21</v>
      </c>
      <c r="R269">
        <v>4.2</v>
      </c>
      <c r="S269">
        <v>4.21</v>
      </c>
      <c r="T269">
        <v>4.2</v>
      </c>
      <c r="U269">
        <v>4.21</v>
      </c>
      <c r="V269">
        <v>4.24</v>
      </c>
      <c r="W269">
        <v>4.24</v>
      </c>
    </row>
    <row r="270" spans="1:23" x14ac:dyDescent="0.35">
      <c r="A270" s="2" t="s">
        <v>235</v>
      </c>
      <c r="B270">
        <v>5</v>
      </c>
      <c r="C270">
        <v>5.07</v>
      </c>
      <c r="D270">
        <v>5.21</v>
      </c>
      <c r="E270">
        <v>4.95</v>
      </c>
      <c r="F270">
        <v>5.0999999999999996</v>
      </c>
      <c r="G270">
        <v>4.99</v>
      </c>
      <c r="H270">
        <v>5.0999999999999996</v>
      </c>
      <c r="I270">
        <v>5.27</v>
      </c>
      <c r="J270">
        <v>5.33</v>
      </c>
      <c r="K270">
        <v>5.0599999999999996</v>
      </c>
      <c r="L270">
        <v>5.26</v>
      </c>
      <c r="M270">
        <v>5.25</v>
      </c>
      <c r="N270">
        <v>5.29</v>
      </c>
      <c r="O270">
        <v>5.27</v>
      </c>
      <c r="P270">
        <v>5.14</v>
      </c>
      <c r="Q270">
        <v>5.18</v>
      </c>
      <c r="R270">
        <v>5.38</v>
      </c>
      <c r="S270">
        <v>5.28</v>
      </c>
      <c r="T270">
        <v>5.46</v>
      </c>
      <c r="U270">
        <v>5.29</v>
      </c>
      <c r="V270">
        <v>5.3</v>
      </c>
      <c r="W270">
        <v>5.24</v>
      </c>
    </row>
    <row r="271" spans="1:23" x14ac:dyDescent="0.35">
      <c r="A271" s="2" t="s">
        <v>236</v>
      </c>
      <c r="B271">
        <v>4.12</v>
      </c>
      <c r="C271">
        <v>4.1500000000000004</v>
      </c>
      <c r="D271">
        <v>4.2</v>
      </c>
      <c r="E271">
        <v>4.25</v>
      </c>
      <c r="F271">
        <v>4.25</v>
      </c>
      <c r="G271">
        <v>4.29</v>
      </c>
      <c r="H271">
        <v>4.3099999999999996</v>
      </c>
      <c r="I271">
        <v>4.26</v>
      </c>
      <c r="J271">
        <v>4.07</v>
      </c>
      <c r="K271">
        <v>3.95</v>
      </c>
      <c r="L271">
        <v>3.86</v>
      </c>
      <c r="M271">
        <v>3.76</v>
      </c>
      <c r="N271">
        <v>3.77</v>
      </c>
      <c r="O271">
        <v>3.9</v>
      </c>
      <c r="P271">
        <v>3.87</v>
      </c>
      <c r="Q271">
        <v>3.92</v>
      </c>
      <c r="R271">
        <v>3.9</v>
      </c>
      <c r="S271">
        <v>3.8</v>
      </c>
      <c r="T271">
        <v>3.86</v>
      </c>
      <c r="U271">
        <v>3.89</v>
      </c>
      <c r="V271">
        <v>3.86</v>
      </c>
      <c r="W271">
        <v>3.93</v>
      </c>
    </row>
    <row r="272" spans="1:23" x14ac:dyDescent="0.35">
      <c r="A272" s="2" t="s">
        <v>237</v>
      </c>
      <c r="B272">
        <v>31.26</v>
      </c>
      <c r="C272">
        <v>30.96</v>
      </c>
      <c r="D272">
        <v>31.93</v>
      </c>
      <c r="E272">
        <v>32.83</v>
      </c>
      <c r="F272">
        <v>32.39</v>
      </c>
      <c r="G272">
        <v>32.340000000000003</v>
      </c>
      <c r="H272">
        <v>31.88</v>
      </c>
      <c r="I272">
        <v>30.89</v>
      </c>
      <c r="J272">
        <v>30.82</v>
      </c>
      <c r="K272">
        <v>31.12</v>
      </c>
      <c r="L272">
        <v>30.22</v>
      </c>
      <c r="M272">
        <v>29.8</v>
      </c>
      <c r="N272">
        <v>30.82</v>
      </c>
      <c r="O272">
        <v>29.94</v>
      </c>
      <c r="P272">
        <v>30.75</v>
      </c>
      <c r="Q272">
        <v>30.26</v>
      </c>
      <c r="R272">
        <v>29.13</v>
      </c>
      <c r="S272">
        <v>28.83</v>
      </c>
      <c r="T272">
        <v>28.76</v>
      </c>
      <c r="U272">
        <v>28.88</v>
      </c>
      <c r="V272">
        <v>28.85</v>
      </c>
      <c r="W272">
        <v>28.51</v>
      </c>
    </row>
    <row r="273" spans="1:23" x14ac:dyDescent="0.35">
      <c r="A273" s="2" t="s">
        <v>238</v>
      </c>
      <c r="B273">
        <v>2.8</v>
      </c>
      <c r="C273">
        <v>2.8</v>
      </c>
      <c r="D273">
        <v>2.88</v>
      </c>
      <c r="E273">
        <v>2.91</v>
      </c>
      <c r="F273">
        <v>2.91</v>
      </c>
      <c r="G273">
        <v>2.94</v>
      </c>
      <c r="H273">
        <v>2.87</v>
      </c>
      <c r="I273">
        <v>2.74</v>
      </c>
      <c r="J273">
        <v>2.71</v>
      </c>
      <c r="K273">
        <v>2.69</v>
      </c>
      <c r="L273">
        <v>2.66</v>
      </c>
      <c r="M273">
        <v>2.62</v>
      </c>
      <c r="N273">
        <v>2.66</v>
      </c>
      <c r="O273">
        <v>2.68</v>
      </c>
      <c r="P273">
        <v>2.66</v>
      </c>
      <c r="Q273">
        <v>2.62</v>
      </c>
      <c r="R273">
        <v>2.61</v>
      </c>
      <c r="S273">
        <v>2.56</v>
      </c>
      <c r="T273">
        <v>2.5499999999999998</v>
      </c>
      <c r="U273">
        <v>2.54</v>
      </c>
      <c r="V273">
        <v>2.54</v>
      </c>
      <c r="W273">
        <v>2.5099999999999998</v>
      </c>
    </row>
    <row r="274" spans="1:23" x14ac:dyDescent="0.35">
      <c r="A274" s="2" t="s">
        <v>239</v>
      </c>
      <c r="B274">
        <v>0.94</v>
      </c>
      <c r="C274">
        <v>0.96</v>
      </c>
      <c r="D274">
        <v>0.95</v>
      </c>
      <c r="E274">
        <v>0.99</v>
      </c>
      <c r="F274">
        <v>1.01</v>
      </c>
      <c r="G274">
        <v>1.02</v>
      </c>
      <c r="H274">
        <v>0.99</v>
      </c>
      <c r="I274">
        <v>0.99</v>
      </c>
      <c r="J274">
        <v>0.92</v>
      </c>
      <c r="K274">
        <v>0.95</v>
      </c>
      <c r="L274">
        <v>0.93</v>
      </c>
      <c r="M274">
        <v>0.92</v>
      </c>
      <c r="N274">
        <v>0.89</v>
      </c>
      <c r="O274">
        <v>0.88</v>
      </c>
      <c r="P274">
        <v>0.85</v>
      </c>
      <c r="Q274">
        <v>0.86</v>
      </c>
      <c r="R274">
        <v>0.87</v>
      </c>
      <c r="S274">
        <v>0.86</v>
      </c>
      <c r="T274">
        <v>0.86</v>
      </c>
      <c r="U274">
        <v>0.85</v>
      </c>
      <c r="V274">
        <v>0.84</v>
      </c>
      <c r="W274">
        <v>0.84</v>
      </c>
    </row>
    <row r="275" spans="1:23" x14ac:dyDescent="0.35">
      <c r="A275" s="2" t="s">
        <v>240</v>
      </c>
      <c r="B275">
        <v>20.84</v>
      </c>
      <c r="C275">
        <v>21</v>
      </c>
      <c r="D275">
        <v>20.93</v>
      </c>
      <c r="E275">
        <v>20.88</v>
      </c>
      <c r="F275">
        <v>20.72</v>
      </c>
      <c r="G275">
        <v>20.9</v>
      </c>
      <c r="H275">
        <v>20.83</v>
      </c>
      <c r="I275">
        <v>21.03</v>
      </c>
      <c r="J275">
        <v>21.07</v>
      </c>
      <c r="K275">
        <v>20.93</v>
      </c>
      <c r="L275">
        <v>20.96</v>
      </c>
      <c r="M275">
        <v>20.91</v>
      </c>
      <c r="N275">
        <v>20.9</v>
      </c>
      <c r="O275">
        <v>20.86</v>
      </c>
      <c r="P275">
        <v>20.81</v>
      </c>
      <c r="Q275">
        <v>21.03</v>
      </c>
      <c r="R275">
        <v>21.24</v>
      </c>
      <c r="S275">
        <v>20.96</v>
      </c>
      <c r="T275">
        <v>20.98</v>
      </c>
      <c r="U275">
        <v>21.82</v>
      </c>
      <c r="V275">
        <v>21.15</v>
      </c>
      <c r="W275">
        <v>21.22</v>
      </c>
    </row>
    <row r="276" spans="1:23" x14ac:dyDescent="0.35">
      <c r="A276" s="2" t="s">
        <v>241</v>
      </c>
      <c r="B276">
        <v>21.12</v>
      </c>
      <c r="C276">
        <v>21.08</v>
      </c>
      <c r="D276">
        <v>21.18</v>
      </c>
      <c r="E276">
        <v>21.08</v>
      </c>
      <c r="F276">
        <v>21.33</v>
      </c>
      <c r="G276">
        <v>21.29</v>
      </c>
      <c r="H276">
        <v>21.37</v>
      </c>
      <c r="I276">
        <v>21.39</v>
      </c>
      <c r="J276">
        <v>21.01</v>
      </c>
      <c r="K276">
        <v>21.14</v>
      </c>
      <c r="L276">
        <v>21.33</v>
      </c>
      <c r="M276">
        <v>21.33</v>
      </c>
      <c r="N276">
        <v>21.33</v>
      </c>
      <c r="O276">
        <v>21.41</v>
      </c>
      <c r="P276">
        <v>21.41</v>
      </c>
      <c r="Q276">
        <v>21.56</v>
      </c>
      <c r="R276">
        <v>21.66</v>
      </c>
      <c r="S276">
        <v>21.72</v>
      </c>
      <c r="T276">
        <v>21.68</v>
      </c>
      <c r="U276">
        <v>21.68</v>
      </c>
      <c r="V276">
        <v>21.68</v>
      </c>
      <c r="W276">
        <v>21.72</v>
      </c>
    </row>
    <row r="277" spans="1:23" x14ac:dyDescent="0.35">
      <c r="A277" s="2" t="s">
        <v>242</v>
      </c>
      <c r="B277">
        <v>95.84</v>
      </c>
      <c r="C277">
        <v>98.62</v>
      </c>
      <c r="D277">
        <v>100.31</v>
      </c>
      <c r="E277">
        <v>102.93</v>
      </c>
      <c r="F277">
        <v>104.17</v>
      </c>
      <c r="G277">
        <v>106.4</v>
      </c>
      <c r="H277">
        <v>104.09</v>
      </c>
      <c r="I277">
        <v>103.17</v>
      </c>
      <c r="J277">
        <v>102.86</v>
      </c>
      <c r="K277">
        <v>102.93</v>
      </c>
      <c r="L277">
        <v>103.63</v>
      </c>
      <c r="M277">
        <v>104.24</v>
      </c>
      <c r="N277">
        <v>105.32</v>
      </c>
      <c r="O277">
        <v>105.25</v>
      </c>
      <c r="P277">
        <v>105.48</v>
      </c>
      <c r="Q277">
        <v>104.86</v>
      </c>
      <c r="R277">
        <v>103.86</v>
      </c>
      <c r="S277">
        <v>104.09</v>
      </c>
      <c r="T277">
        <v>104.55</v>
      </c>
      <c r="U277">
        <v>105.02</v>
      </c>
      <c r="V277">
        <v>104.01</v>
      </c>
      <c r="W277">
        <v>105.4</v>
      </c>
    </row>
    <row r="278" spans="1:23" x14ac:dyDescent="0.35">
      <c r="A278" s="2" t="s">
        <v>243</v>
      </c>
      <c r="B278">
        <v>12.15</v>
      </c>
      <c r="C278">
        <v>12.43</v>
      </c>
      <c r="D278">
        <v>12.5</v>
      </c>
      <c r="E278">
        <v>12.75</v>
      </c>
      <c r="F278">
        <v>13.04</v>
      </c>
      <c r="G278">
        <v>13.01</v>
      </c>
      <c r="H278">
        <v>12.89</v>
      </c>
      <c r="I278">
        <v>12.67</v>
      </c>
      <c r="J278">
        <v>12.69</v>
      </c>
      <c r="K278">
        <v>12.72</v>
      </c>
      <c r="L278">
        <v>12.82</v>
      </c>
      <c r="M278">
        <v>12.76</v>
      </c>
      <c r="N278">
        <v>12.59</v>
      </c>
      <c r="O278">
        <v>12.7</v>
      </c>
      <c r="P278">
        <v>12.7</v>
      </c>
      <c r="Q278">
        <v>12.68</v>
      </c>
      <c r="R278">
        <v>12.72</v>
      </c>
      <c r="S278">
        <v>12.74</v>
      </c>
      <c r="T278">
        <v>12.76</v>
      </c>
      <c r="U278">
        <v>12.65</v>
      </c>
      <c r="V278">
        <v>13.56</v>
      </c>
      <c r="W278">
        <v>13.52</v>
      </c>
    </row>
    <row r="279" spans="1:23" x14ac:dyDescent="0.35">
      <c r="A279" s="2" t="s">
        <v>244</v>
      </c>
      <c r="B279">
        <v>9.56</v>
      </c>
      <c r="C279">
        <v>9.6199999999999992</v>
      </c>
      <c r="D279">
        <v>9.77</v>
      </c>
      <c r="E279">
        <v>10.1</v>
      </c>
      <c r="F279">
        <v>10.02</v>
      </c>
      <c r="G279">
        <v>9.93</v>
      </c>
      <c r="H279">
        <v>9.9</v>
      </c>
      <c r="I279">
        <v>9.85</v>
      </c>
      <c r="J279">
        <v>9.9</v>
      </c>
      <c r="K279">
        <v>9.9</v>
      </c>
      <c r="L279">
        <v>9.9700000000000006</v>
      </c>
      <c r="M279">
        <v>10.01</v>
      </c>
      <c r="N279">
        <v>9.9499999999999993</v>
      </c>
      <c r="O279">
        <v>9.84</v>
      </c>
      <c r="P279">
        <v>9.7799999999999994</v>
      </c>
      <c r="Q279">
        <v>9.94</v>
      </c>
      <c r="R279">
        <v>9.85</v>
      </c>
      <c r="S279">
        <v>9.94</v>
      </c>
      <c r="T279">
        <v>9.8800000000000008</v>
      </c>
      <c r="U279">
        <v>9.9</v>
      </c>
      <c r="V279">
        <v>10</v>
      </c>
      <c r="W279">
        <v>10.15</v>
      </c>
    </row>
    <row r="280" spans="1:23" x14ac:dyDescent="0.35">
      <c r="A280" s="2" t="s">
        <v>245</v>
      </c>
      <c r="B280">
        <v>27.52</v>
      </c>
      <c r="C280">
        <v>27.29</v>
      </c>
      <c r="D280">
        <v>27.54</v>
      </c>
      <c r="E280">
        <v>27.77</v>
      </c>
      <c r="F280">
        <v>27.95</v>
      </c>
      <c r="G280">
        <v>28.04</v>
      </c>
      <c r="H280">
        <v>28.49</v>
      </c>
      <c r="I280">
        <v>28.49</v>
      </c>
      <c r="J280">
        <v>28.72</v>
      </c>
      <c r="K280">
        <v>28.51</v>
      </c>
      <c r="L280">
        <v>28.72</v>
      </c>
      <c r="M280">
        <v>28.74</v>
      </c>
      <c r="N280">
        <v>28.61</v>
      </c>
      <c r="O280">
        <v>28.54</v>
      </c>
      <c r="P280">
        <v>28.76</v>
      </c>
      <c r="Q280">
        <v>28.83</v>
      </c>
      <c r="R280">
        <v>28.7</v>
      </c>
      <c r="S280">
        <v>28.79</v>
      </c>
      <c r="T280">
        <v>29.44</v>
      </c>
      <c r="U280">
        <v>29.6</v>
      </c>
      <c r="V280">
        <v>29.74</v>
      </c>
      <c r="W280">
        <v>29.62</v>
      </c>
    </row>
    <row r="281" spans="1:23" x14ac:dyDescent="0.35">
      <c r="A281" s="2" t="s">
        <v>822</v>
      </c>
      <c r="B281">
        <v>15.4</v>
      </c>
      <c r="C281">
        <v>15.29</v>
      </c>
      <c r="D281">
        <v>15.74</v>
      </c>
      <c r="E281">
        <v>16.32</v>
      </c>
      <c r="F281">
        <v>16.23</v>
      </c>
      <c r="G281">
        <v>16.16</v>
      </c>
      <c r="H281">
        <v>16.41</v>
      </c>
      <c r="I281">
        <v>16.399999999999999</v>
      </c>
      <c r="J281">
        <v>16.43</v>
      </c>
      <c r="K281">
        <v>16.399999999999999</v>
      </c>
      <c r="L281">
        <v>16.579999999999998</v>
      </c>
      <c r="M281">
        <v>16.579999999999998</v>
      </c>
      <c r="N281">
        <v>16.71</v>
      </c>
      <c r="O281">
        <v>16.86</v>
      </c>
      <c r="P281">
        <v>16.54</v>
      </c>
      <c r="Q281">
        <v>16.38</v>
      </c>
      <c r="R281">
        <v>16.38</v>
      </c>
      <c r="S281">
        <v>16.37</v>
      </c>
      <c r="T281">
        <v>15.76</v>
      </c>
      <c r="U281">
        <v>16.02</v>
      </c>
      <c r="V281">
        <v>15.79</v>
      </c>
      <c r="W281">
        <v>15.74</v>
      </c>
    </row>
    <row r="282" spans="1:23" x14ac:dyDescent="0.35">
      <c r="A282" s="2" t="s">
        <v>246</v>
      </c>
      <c r="B282">
        <v>188.02</v>
      </c>
      <c r="C282">
        <v>198.4</v>
      </c>
      <c r="D282">
        <v>216.97</v>
      </c>
      <c r="E282">
        <v>222.22</v>
      </c>
      <c r="F282">
        <v>215.14</v>
      </c>
      <c r="G282">
        <v>193.15</v>
      </c>
      <c r="H282">
        <v>197.18</v>
      </c>
      <c r="I282">
        <v>199.13</v>
      </c>
      <c r="J282">
        <v>194.73</v>
      </c>
      <c r="K282">
        <v>190.34</v>
      </c>
      <c r="L282">
        <v>185.57</v>
      </c>
      <c r="M282">
        <v>183.74</v>
      </c>
      <c r="N282">
        <v>184.35</v>
      </c>
      <c r="O282">
        <v>188.87</v>
      </c>
      <c r="P282">
        <v>186.18</v>
      </c>
      <c r="Q282">
        <v>185.57</v>
      </c>
      <c r="R282">
        <v>180.44</v>
      </c>
      <c r="S282">
        <v>173.48</v>
      </c>
      <c r="T282">
        <v>165.66</v>
      </c>
      <c r="U282">
        <v>166.27</v>
      </c>
      <c r="V282">
        <v>178</v>
      </c>
      <c r="W282">
        <v>175.07</v>
      </c>
    </row>
    <row r="283" spans="1:23" x14ac:dyDescent="0.35">
      <c r="A283" s="2" t="s">
        <v>247</v>
      </c>
      <c r="B283">
        <v>126.66</v>
      </c>
      <c r="C283">
        <v>138.68</v>
      </c>
      <c r="D283">
        <v>152.38</v>
      </c>
      <c r="E283">
        <v>154.72999999999999</v>
      </c>
      <c r="F283">
        <v>148.85</v>
      </c>
      <c r="G283">
        <v>133.55000000000001</v>
      </c>
      <c r="H283">
        <v>138.76</v>
      </c>
      <c r="I283">
        <v>142.54</v>
      </c>
      <c r="J283">
        <v>139.94</v>
      </c>
      <c r="K283">
        <v>136.24</v>
      </c>
      <c r="L283">
        <v>132.29</v>
      </c>
      <c r="M283">
        <v>130.86000000000001</v>
      </c>
      <c r="N283">
        <v>130.36000000000001</v>
      </c>
      <c r="O283">
        <v>133.97</v>
      </c>
      <c r="P283">
        <v>131.19999999999999</v>
      </c>
      <c r="Q283">
        <v>131.19999999999999</v>
      </c>
      <c r="R283">
        <v>126.49</v>
      </c>
      <c r="S283">
        <v>120.36</v>
      </c>
      <c r="T283">
        <v>114.47</v>
      </c>
      <c r="U283">
        <v>115.56</v>
      </c>
      <c r="V283">
        <v>125.9</v>
      </c>
      <c r="W283">
        <v>124.14</v>
      </c>
    </row>
    <row r="284" spans="1:23" x14ac:dyDescent="0.35">
      <c r="A284" s="2" t="s">
        <v>248</v>
      </c>
      <c r="B284">
        <v>61.47</v>
      </c>
      <c r="C284">
        <v>62.86</v>
      </c>
      <c r="D284">
        <v>78.23</v>
      </c>
      <c r="E284">
        <v>78.75</v>
      </c>
      <c r="F284">
        <v>75.48</v>
      </c>
      <c r="G284">
        <v>61.75</v>
      </c>
      <c r="H284">
        <v>69.709999999999994</v>
      </c>
      <c r="I284">
        <v>68.319999999999993</v>
      </c>
      <c r="J284">
        <v>65.849999999999994</v>
      </c>
      <c r="K284">
        <v>62.86</v>
      </c>
      <c r="L284">
        <v>60.36</v>
      </c>
      <c r="M284">
        <v>60.77</v>
      </c>
      <c r="N284">
        <v>64.77</v>
      </c>
      <c r="O284">
        <v>63.8</v>
      </c>
      <c r="P284">
        <v>62.72</v>
      </c>
      <c r="Q284">
        <v>63.66</v>
      </c>
      <c r="R284">
        <v>59.97</v>
      </c>
      <c r="S284">
        <v>60.63</v>
      </c>
      <c r="T284">
        <v>56.67</v>
      </c>
      <c r="U284">
        <v>59.69</v>
      </c>
      <c r="V284">
        <v>57.37</v>
      </c>
      <c r="W284">
        <v>56.67</v>
      </c>
    </row>
    <row r="285" spans="1:23" x14ac:dyDescent="0.35">
      <c r="A285" s="2" t="s">
        <v>249</v>
      </c>
      <c r="B285">
        <v>0.1</v>
      </c>
      <c r="C285">
        <v>0.1</v>
      </c>
      <c r="D285">
        <v>0.1</v>
      </c>
      <c r="E285">
        <v>0.1</v>
      </c>
      <c r="F285">
        <v>0.11</v>
      </c>
      <c r="G285">
        <v>0.11</v>
      </c>
      <c r="H285">
        <v>0.1</v>
      </c>
      <c r="I285">
        <v>0.1</v>
      </c>
      <c r="J285">
        <v>0.1</v>
      </c>
      <c r="K285">
        <v>0.1</v>
      </c>
      <c r="L285">
        <v>0.1</v>
      </c>
      <c r="M285">
        <v>0.1</v>
      </c>
      <c r="N285">
        <v>0.1</v>
      </c>
      <c r="O285">
        <v>0.1</v>
      </c>
      <c r="P285">
        <v>0.1</v>
      </c>
      <c r="Q285">
        <v>0.1</v>
      </c>
      <c r="R285">
        <v>0.1</v>
      </c>
      <c r="S285">
        <v>0.1</v>
      </c>
      <c r="T285">
        <v>0.09</v>
      </c>
      <c r="U285">
        <v>0.09</v>
      </c>
      <c r="V285">
        <v>0.09</v>
      </c>
      <c r="W285">
        <v>0.09</v>
      </c>
    </row>
    <row r="286" spans="1:23" x14ac:dyDescent="0.35">
      <c r="A286" s="2" t="s">
        <v>250</v>
      </c>
      <c r="B286">
        <v>5.69</v>
      </c>
      <c r="C286">
        <v>5.78</v>
      </c>
      <c r="D286">
        <v>5.74</v>
      </c>
      <c r="E286">
        <v>5.74</v>
      </c>
      <c r="F286">
        <v>5.75</v>
      </c>
      <c r="G286">
        <v>5.65</v>
      </c>
      <c r="H286">
        <v>5.55</v>
      </c>
      <c r="I286">
        <v>5.54</v>
      </c>
      <c r="J286">
        <v>5.39</v>
      </c>
      <c r="K286">
        <v>5.41</v>
      </c>
      <c r="L286">
        <v>5.5</v>
      </c>
      <c r="M286">
        <v>5.45</v>
      </c>
      <c r="N286">
        <v>5.58</v>
      </c>
      <c r="O286">
        <v>5.61</v>
      </c>
      <c r="P286">
        <v>5.6</v>
      </c>
      <c r="Q286">
        <v>5.62</v>
      </c>
      <c r="R286">
        <v>5.59</v>
      </c>
      <c r="S286">
        <v>5.51</v>
      </c>
      <c r="T286">
        <v>5.5</v>
      </c>
      <c r="U286">
        <v>5.49</v>
      </c>
      <c r="V286">
        <v>5.49</v>
      </c>
      <c r="W286">
        <v>5.51</v>
      </c>
    </row>
    <row r="287" spans="1:23" x14ac:dyDescent="0.35">
      <c r="A287" s="2" t="s">
        <v>251</v>
      </c>
      <c r="B287">
        <v>94.01</v>
      </c>
      <c r="C287">
        <v>95.11</v>
      </c>
      <c r="D287">
        <v>95.67</v>
      </c>
      <c r="E287">
        <v>97.49</v>
      </c>
      <c r="F287">
        <v>99.86</v>
      </c>
      <c r="G287">
        <v>99.78</v>
      </c>
      <c r="H287">
        <v>99.07</v>
      </c>
      <c r="I287">
        <v>102.16</v>
      </c>
      <c r="J287">
        <v>102.55</v>
      </c>
      <c r="K287">
        <v>102</v>
      </c>
      <c r="L287">
        <v>102.55</v>
      </c>
      <c r="M287">
        <v>104.69</v>
      </c>
      <c r="N287">
        <v>105.8</v>
      </c>
      <c r="O287">
        <v>104.69</v>
      </c>
      <c r="P287">
        <v>104.21</v>
      </c>
      <c r="Q287">
        <v>104.85</v>
      </c>
      <c r="R287">
        <v>104.61</v>
      </c>
      <c r="S287">
        <v>105.08</v>
      </c>
      <c r="T287">
        <v>108.09</v>
      </c>
      <c r="U287">
        <v>113.55</v>
      </c>
      <c r="V287">
        <v>114.82</v>
      </c>
      <c r="W287">
        <v>115.77</v>
      </c>
    </row>
    <row r="288" spans="1:23" x14ac:dyDescent="0.35">
      <c r="A288" s="2" t="s">
        <v>252</v>
      </c>
      <c r="B288">
        <v>0.15</v>
      </c>
      <c r="C288">
        <v>0.15</v>
      </c>
      <c r="D288">
        <v>0.15</v>
      </c>
      <c r="E288">
        <v>0.15</v>
      </c>
      <c r="F288">
        <v>0.15</v>
      </c>
      <c r="G288">
        <v>0.15</v>
      </c>
      <c r="H288">
        <v>0.15</v>
      </c>
      <c r="I288">
        <v>0.15</v>
      </c>
      <c r="J288">
        <v>0.16</v>
      </c>
      <c r="K288">
        <v>0.15</v>
      </c>
      <c r="L288">
        <v>0.16</v>
      </c>
      <c r="M288">
        <v>0.15</v>
      </c>
      <c r="N288">
        <v>0.16</v>
      </c>
      <c r="O288">
        <v>0.16</v>
      </c>
      <c r="P288">
        <v>0.16</v>
      </c>
      <c r="Q288">
        <v>0.16</v>
      </c>
      <c r="R288">
        <v>0.16</v>
      </c>
      <c r="S288">
        <v>0.16</v>
      </c>
      <c r="T288">
        <v>0.16</v>
      </c>
      <c r="U288">
        <v>0.16</v>
      </c>
      <c r="V288">
        <v>0.16</v>
      </c>
      <c r="W288">
        <v>0.16</v>
      </c>
    </row>
    <row r="289" spans="1:23" x14ac:dyDescent="0.35">
      <c r="A289" s="2" t="s">
        <v>253</v>
      </c>
      <c r="B289">
        <v>69.45</v>
      </c>
      <c r="C289">
        <v>69.83</v>
      </c>
      <c r="D289">
        <v>70.430000000000007</v>
      </c>
      <c r="E289">
        <v>73.400000000000006</v>
      </c>
      <c r="F289">
        <v>75.599999999999994</v>
      </c>
      <c r="G289">
        <v>75.760000000000005</v>
      </c>
      <c r="H289">
        <v>73.569999999999993</v>
      </c>
      <c r="I289">
        <v>75.540000000000006</v>
      </c>
      <c r="J289">
        <v>75.489999999999995</v>
      </c>
      <c r="K289">
        <v>74.28</v>
      </c>
      <c r="L289">
        <v>73.95</v>
      </c>
      <c r="M289">
        <v>74.5</v>
      </c>
      <c r="N289">
        <v>74.72</v>
      </c>
      <c r="O289">
        <v>74.39</v>
      </c>
      <c r="P289">
        <v>75.599999999999994</v>
      </c>
      <c r="Q289">
        <v>75.430000000000007</v>
      </c>
      <c r="R289">
        <v>75.38</v>
      </c>
      <c r="S289">
        <v>75.16</v>
      </c>
      <c r="T289">
        <v>73.400000000000006</v>
      </c>
      <c r="U289">
        <v>76.81</v>
      </c>
      <c r="V289">
        <v>77.58</v>
      </c>
      <c r="W289">
        <v>75.05</v>
      </c>
    </row>
    <row r="290" spans="1:23" x14ac:dyDescent="0.35">
      <c r="A290" s="2" t="s">
        <v>254</v>
      </c>
      <c r="B290">
        <v>11.81</v>
      </c>
      <c r="C290">
        <v>11.82</v>
      </c>
      <c r="D290">
        <v>11.64</v>
      </c>
      <c r="E290">
        <v>12.27</v>
      </c>
      <c r="F290">
        <v>12.27</v>
      </c>
      <c r="G290">
        <v>12.32</v>
      </c>
      <c r="H290">
        <v>12.41</v>
      </c>
      <c r="I290">
        <v>12.48</v>
      </c>
      <c r="J290">
        <v>12.48</v>
      </c>
      <c r="K290">
        <v>12.6</v>
      </c>
      <c r="L290">
        <v>12.6</v>
      </c>
      <c r="M290">
        <v>12.58</v>
      </c>
      <c r="N290">
        <v>12.06</v>
      </c>
      <c r="O290">
        <v>12.03</v>
      </c>
      <c r="P290">
        <v>12.03</v>
      </c>
      <c r="Q290">
        <v>12.02</v>
      </c>
      <c r="R290">
        <v>11.63</v>
      </c>
      <c r="S290">
        <v>11.64</v>
      </c>
      <c r="T290">
        <v>11.61</v>
      </c>
      <c r="U290">
        <v>11.58</v>
      </c>
      <c r="V290">
        <v>11.56</v>
      </c>
      <c r="W290">
        <v>11.59</v>
      </c>
    </row>
    <row r="291" spans="1:23" x14ac:dyDescent="0.35">
      <c r="A291" s="2" t="s">
        <v>255</v>
      </c>
      <c r="B291">
        <v>9.9</v>
      </c>
      <c r="C291">
        <v>9.9</v>
      </c>
      <c r="D291">
        <v>9.9</v>
      </c>
      <c r="E291">
        <v>9.9</v>
      </c>
      <c r="F291">
        <v>9.9</v>
      </c>
      <c r="G291">
        <v>9.9</v>
      </c>
      <c r="H291">
        <v>9.75</v>
      </c>
      <c r="I291">
        <v>9.75</v>
      </c>
      <c r="J291">
        <v>9.75</v>
      </c>
      <c r="K291">
        <v>9.75</v>
      </c>
      <c r="L291">
        <v>9.75</v>
      </c>
      <c r="M291">
        <v>9.75</v>
      </c>
      <c r="N291">
        <v>9.75</v>
      </c>
      <c r="O291">
        <v>9.75</v>
      </c>
      <c r="P291">
        <v>9.75</v>
      </c>
      <c r="Q291">
        <v>9.75</v>
      </c>
      <c r="R291">
        <v>9.75</v>
      </c>
      <c r="S291">
        <v>9.75</v>
      </c>
      <c r="T291">
        <v>9.75</v>
      </c>
      <c r="U291">
        <v>9.75</v>
      </c>
      <c r="V291">
        <v>9.75</v>
      </c>
      <c r="W291">
        <v>9.75</v>
      </c>
    </row>
    <row r="292" spans="1:23" x14ac:dyDescent="0.35">
      <c r="A292" s="2" t="s">
        <v>256</v>
      </c>
      <c r="B292">
        <v>0.05</v>
      </c>
      <c r="C292">
        <v>0.05</v>
      </c>
      <c r="D292">
        <v>0.05</v>
      </c>
      <c r="E292">
        <v>0.05</v>
      </c>
      <c r="F292">
        <v>0.05</v>
      </c>
      <c r="G292">
        <v>0.05</v>
      </c>
      <c r="H292">
        <v>0.05</v>
      </c>
      <c r="I292">
        <v>0.05</v>
      </c>
      <c r="J292">
        <v>0.05</v>
      </c>
      <c r="K292">
        <v>0.05</v>
      </c>
      <c r="L292">
        <v>0.05</v>
      </c>
      <c r="M292">
        <v>0.06</v>
      </c>
      <c r="N292">
        <v>0.06</v>
      </c>
      <c r="O292">
        <v>0.05</v>
      </c>
      <c r="P292">
        <v>0.05</v>
      </c>
      <c r="Q292">
        <v>0.05</v>
      </c>
      <c r="R292">
        <v>0.05</v>
      </c>
      <c r="S292">
        <v>0.05</v>
      </c>
      <c r="T292">
        <v>0.06</v>
      </c>
      <c r="U292">
        <v>0.06</v>
      </c>
      <c r="V292">
        <v>0.06</v>
      </c>
      <c r="W292">
        <v>0.06</v>
      </c>
    </row>
    <row r="293" spans="1:23" x14ac:dyDescent="0.35">
      <c r="A293" s="2" t="s">
        <v>257</v>
      </c>
      <c r="B293">
        <v>1.89</v>
      </c>
      <c r="C293">
        <v>1.89</v>
      </c>
      <c r="D293">
        <v>1.89</v>
      </c>
      <c r="E293">
        <v>1.92</v>
      </c>
      <c r="F293">
        <v>1.93</v>
      </c>
      <c r="G293">
        <v>1.93</v>
      </c>
      <c r="H293">
        <v>1.91</v>
      </c>
      <c r="I293">
        <v>1.85</v>
      </c>
      <c r="J293">
        <v>1.85</v>
      </c>
      <c r="K293">
        <v>1.84</v>
      </c>
      <c r="L293">
        <v>1.84</v>
      </c>
      <c r="M293">
        <v>1.84</v>
      </c>
      <c r="N293">
        <v>1.82</v>
      </c>
      <c r="O293">
        <v>1.82</v>
      </c>
      <c r="P293">
        <v>1.82</v>
      </c>
      <c r="Q293">
        <v>1.82</v>
      </c>
      <c r="R293">
        <v>1.85</v>
      </c>
      <c r="S293">
        <v>1.88</v>
      </c>
      <c r="T293">
        <v>1.88</v>
      </c>
      <c r="U293">
        <v>1.88</v>
      </c>
      <c r="V293">
        <v>1.88</v>
      </c>
      <c r="W293">
        <v>1.88</v>
      </c>
    </row>
    <row r="294" spans="1:23" x14ac:dyDescent="0.35">
      <c r="A294" s="2" t="s">
        <v>258</v>
      </c>
      <c r="B294">
        <v>11.65</v>
      </c>
      <c r="C294">
        <v>11.59</v>
      </c>
      <c r="D294">
        <v>11.84</v>
      </c>
      <c r="E294">
        <v>11.72</v>
      </c>
      <c r="F294">
        <v>11.78</v>
      </c>
      <c r="G294">
        <v>11.69</v>
      </c>
      <c r="H294">
        <v>12.37</v>
      </c>
      <c r="I294">
        <v>12.32</v>
      </c>
      <c r="J294">
        <v>12.38</v>
      </c>
      <c r="K294">
        <v>12.27</v>
      </c>
      <c r="L294">
        <v>12.36</v>
      </c>
      <c r="M294">
        <v>12.29</v>
      </c>
      <c r="N294">
        <v>12.32</v>
      </c>
      <c r="O294">
        <v>12.27</v>
      </c>
      <c r="P294">
        <v>12.26</v>
      </c>
      <c r="Q294">
        <v>11.95</v>
      </c>
      <c r="R294">
        <v>11.97</v>
      </c>
      <c r="S294">
        <v>11.99</v>
      </c>
      <c r="T294">
        <v>12</v>
      </c>
      <c r="U294">
        <v>11.68</v>
      </c>
      <c r="V294">
        <v>12.02</v>
      </c>
      <c r="W294">
        <v>11.91</v>
      </c>
    </row>
    <row r="295" spans="1:23" x14ac:dyDescent="0.35">
      <c r="A295" s="2" t="s">
        <v>259</v>
      </c>
      <c r="B295">
        <v>21.69</v>
      </c>
      <c r="C295">
        <v>21.91</v>
      </c>
      <c r="D295">
        <v>21.92</v>
      </c>
      <c r="E295">
        <v>22.55</v>
      </c>
      <c r="F295">
        <v>23.46</v>
      </c>
      <c r="G295">
        <v>23.59</v>
      </c>
      <c r="H295">
        <v>24.27</v>
      </c>
      <c r="I295">
        <v>24.37</v>
      </c>
      <c r="J295">
        <v>24.26</v>
      </c>
      <c r="K295">
        <v>24.14</v>
      </c>
      <c r="L295">
        <v>24.14</v>
      </c>
      <c r="M295">
        <v>24.22</v>
      </c>
      <c r="N295">
        <v>24.18</v>
      </c>
      <c r="O295">
        <v>24.24</v>
      </c>
      <c r="P295">
        <v>24.2</v>
      </c>
      <c r="Q295">
        <v>24.53</v>
      </c>
      <c r="R295">
        <v>24.33</v>
      </c>
      <c r="S295">
        <v>24.2</v>
      </c>
      <c r="T295">
        <v>24.45</v>
      </c>
      <c r="U295">
        <v>24.39</v>
      </c>
      <c r="V295">
        <v>24.78</v>
      </c>
      <c r="W295">
        <v>24.55</v>
      </c>
    </row>
    <row r="296" spans="1:23" x14ac:dyDescent="0.35">
      <c r="A296" s="2" t="s">
        <v>260</v>
      </c>
      <c r="B296">
        <v>9.3000000000000007</v>
      </c>
      <c r="C296">
        <v>9.42</v>
      </c>
      <c r="D296">
        <v>9.32</v>
      </c>
      <c r="E296">
        <v>9.3699999999999992</v>
      </c>
      <c r="F296">
        <v>9.02</v>
      </c>
      <c r="G296">
        <v>9.34</v>
      </c>
      <c r="H296">
        <v>9.2799999999999994</v>
      </c>
      <c r="I296">
        <v>9.25</v>
      </c>
      <c r="J296">
        <v>9.4600000000000009</v>
      </c>
      <c r="K296">
        <v>9.5</v>
      </c>
      <c r="L296">
        <v>9.39</v>
      </c>
      <c r="M296">
        <v>8.9499999999999993</v>
      </c>
      <c r="N296">
        <v>9.27</v>
      </c>
      <c r="O296">
        <v>9.02</v>
      </c>
      <c r="P296">
        <v>9.02</v>
      </c>
      <c r="Q296">
        <v>8.84</v>
      </c>
      <c r="R296">
        <v>9.1999999999999993</v>
      </c>
      <c r="S296">
        <v>9.52</v>
      </c>
      <c r="T296">
        <v>9.23</v>
      </c>
      <c r="U296">
        <v>9.3699999999999992</v>
      </c>
      <c r="V296">
        <v>9.41</v>
      </c>
      <c r="W296">
        <v>9.3800000000000008</v>
      </c>
    </row>
    <row r="297" spans="1:23" x14ac:dyDescent="0.35">
      <c r="A297" s="2" t="s">
        <v>261</v>
      </c>
      <c r="B297">
        <v>0.9</v>
      </c>
      <c r="C297">
        <v>0.9</v>
      </c>
      <c r="D297">
        <v>0.91</v>
      </c>
      <c r="E297">
        <v>0.93</v>
      </c>
      <c r="F297">
        <v>0.92</v>
      </c>
      <c r="G297">
        <v>0.93</v>
      </c>
      <c r="H297">
        <v>0.93</v>
      </c>
      <c r="I297">
        <v>0.92</v>
      </c>
      <c r="J297">
        <v>0.92</v>
      </c>
      <c r="K297">
        <v>0.93</v>
      </c>
      <c r="L297">
        <v>0.93</v>
      </c>
      <c r="M297">
        <v>0.92</v>
      </c>
      <c r="N297">
        <v>0.93</v>
      </c>
      <c r="O297">
        <v>0.93</v>
      </c>
      <c r="P297">
        <v>0.93</v>
      </c>
      <c r="Q297">
        <v>0.93</v>
      </c>
      <c r="R297">
        <v>0.93</v>
      </c>
      <c r="S297">
        <v>0.93</v>
      </c>
      <c r="T297">
        <v>0.93</v>
      </c>
      <c r="U297">
        <v>0.96</v>
      </c>
      <c r="V297">
        <v>0.96</v>
      </c>
      <c r="W297">
        <v>0.96</v>
      </c>
    </row>
    <row r="298" spans="1:23" x14ac:dyDescent="0.35">
      <c r="A298" s="2" t="s">
        <v>262</v>
      </c>
      <c r="B298">
        <v>54.69</v>
      </c>
      <c r="C298">
        <v>53.87</v>
      </c>
      <c r="D298">
        <v>53.39</v>
      </c>
      <c r="E298">
        <v>53.92</v>
      </c>
      <c r="F298">
        <v>53.2</v>
      </c>
      <c r="G298">
        <v>55.22</v>
      </c>
      <c r="H298">
        <v>54.59</v>
      </c>
      <c r="I298">
        <v>57.09</v>
      </c>
      <c r="J298">
        <v>58.67</v>
      </c>
      <c r="K298">
        <v>58.14</v>
      </c>
      <c r="L298">
        <v>56.51</v>
      </c>
      <c r="M298">
        <v>57.61</v>
      </c>
      <c r="N298">
        <v>58.86</v>
      </c>
      <c r="O298">
        <v>56.61</v>
      </c>
      <c r="P298">
        <v>55.94</v>
      </c>
      <c r="Q298">
        <v>57.95</v>
      </c>
      <c r="R298">
        <v>58.29</v>
      </c>
      <c r="S298">
        <v>58.09</v>
      </c>
      <c r="T298">
        <v>58.48</v>
      </c>
      <c r="U298">
        <v>60.73</v>
      </c>
      <c r="V298">
        <v>58.53</v>
      </c>
      <c r="W298">
        <v>60.11</v>
      </c>
    </row>
    <row r="299" spans="1:23" x14ac:dyDescent="0.35">
      <c r="A299" s="2" t="s">
        <v>263</v>
      </c>
      <c r="B299">
        <v>3</v>
      </c>
      <c r="C299">
        <v>3</v>
      </c>
      <c r="D299">
        <v>3.04</v>
      </c>
      <c r="E299">
        <v>3.11</v>
      </c>
      <c r="F299">
        <v>3.14</v>
      </c>
      <c r="G299">
        <v>3.12</v>
      </c>
      <c r="H299">
        <v>3.12</v>
      </c>
      <c r="I299">
        <v>3.13</v>
      </c>
      <c r="J299">
        <v>3.13</v>
      </c>
      <c r="K299">
        <v>3.11</v>
      </c>
      <c r="L299">
        <v>3.11</v>
      </c>
      <c r="M299">
        <v>3.1</v>
      </c>
      <c r="N299">
        <v>3.11</v>
      </c>
      <c r="O299">
        <v>3.13</v>
      </c>
      <c r="P299">
        <v>3.11</v>
      </c>
      <c r="Q299">
        <v>3.14</v>
      </c>
      <c r="R299">
        <v>3.11</v>
      </c>
      <c r="S299">
        <v>3.11</v>
      </c>
      <c r="T299">
        <v>3.11</v>
      </c>
      <c r="U299">
        <v>3.12</v>
      </c>
      <c r="V299">
        <v>3.11</v>
      </c>
      <c r="W299">
        <v>3.12</v>
      </c>
    </row>
    <row r="300" spans="1:23" x14ac:dyDescent="0.35">
      <c r="A300" s="2" t="s">
        <v>264</v>
      </c>
      <c r="B300">
        <v>4.57</v>
      </c>
      <c r="C300">
        <v>4.59</v>
      </c>
      <c r="D300">
        <v>4.5</v>
      </c>
      <c r="E300">
        <v>4.5</v>
      </c>
      <c r="F300">
        <v>4.54</v>
      </c>
      <c r="G300">
        <v>4.6100000000000003</v>
      </c>
      <c r="H300">
        <v>4.53</v>
      </c>
      <c r="I300">
        <v>4.55</v>
      </c>
      <c r="J300">
        <v>4.5</v>
      </c>
      <c r="K300">
        <v>4.6500000000000004</v>
      </c>
      <c r="L300">
        <v>4.6100000000000003</v>
      </c>
      <c r="M300">
        <v>4.5599999999999996</v>
      </c>
      <c r="N300">
        <v>4.58</v>
      </c>
      <c r="O300">
        <v>4.6399999999999997</v>
      </c>
      <c r="P300">
        <v>4.66</v>
      </c>
      <c r="Q300">
        <v>4.67</v>
      </c>
      <c r="R300">
        <v>4.7</v>
      </c>
      <c r="S300">
        <v>4.7300000000000004</v>
      </c>
      <c r="T300">
        <v>4.8</v>
      </c>
      <c r="U300">
        <v>4.6900000000000004</v>
      </c>
      <c r="V300">
        <v>4.78</v>
      </c>
      <c r="W300">
        <v>4.6500000000000004</v>
      </c>
    </row>
    <row r="301" spans="1:23" x14ac:dyDescent="0.35">
      <c r="A301" s="2" t="s">
        <v>265</v>
      </c>
      <c r="B301">
        <v>5.9</v>
      </c>
      <c r="C301">
        <v>5.9</v>
      </c>
      <c r="D301">
        <v>5.9</v>
      </c>
      <c r="E301">
        <v>5.9</v>
      </c>
      <c r="F301">
        <v>5.91</v>
      </c>
      <c r="G301">
        <v>5.91</v>
      </c>
      <c r="H301">
        <v>5.91</v>
      </c>
      <c r="I301">
        <v>5.91</v>
      </c>
      <c r="J301">
        <v>5.9</v>
      </c>
      <c r="K301">
        <v>5.97</v>
      </c>
      <c r="L301">
        <v>5.99</v>
      </c>
      <c r="M301">
        <v>5.99</v>
      </c>
      <c r="N301">
        <v>5.99</v>
      </c>
      <c r="O301">
        <v>5.98</v>
      </c>
      <c r="P301">
        <v>5.99</v>
      </c>
      <c r="Q301">
        <v>6</v>
      </c>
      <c r="R301">
        <v>6</v>
      </c>
      <c r="S301">
        <v>6</v>
      </c>
      <c r="T301">
        <v>6</v>
      </c>
      <c r="U301">
        <v>6</v>
      </c>
      <c r="V301">
        <v>6</v>
      </c>
      <c r="W301">
        <v>6</v>
      </c>
    </row>
    <row r="302" spans="1:23" x14ac:dyDescent="0.35">
      <c r="A302" s="2" t="s">
        <v>266</v>
      </c>
      <c r="B302">
        <v>6.13</v>
      </c>
      <c r="C302">
        <v>6.28</v>
      </c>
      <c r="D302">
        <v>6.28</v>
      </c>
      <c r="E302">
        <v>6.48</v>
      </c>
      <c r="F302">
        <v>6.55</v>
      </c>
      <c r="G302">
        <v>6.58</v>
      </c>
      <c r="H302">
        <v>6.41</v>
      </c>
      <c r="I302">
        <v>6.29</v>
      </c>
      <c r="J302">
        <v>6.22</v>
      </c>
      <c r="K302">
        <v>6.26</v>
      </c>
      <c r="L302">
        <v>6.11</v>
      </c>
      <c r="M302">
        <v>6.16</v>
      </c>
      <c r="N302">
        <v>6.25</v>
      </c>
      <c r="O302">
        <v>6.26</v>
      </c>
      <c r="P302">
        <v>6.29</v>
      </c>
      <c r="Q302">
        <v>6.32</v>
      </c>
      <c r="R302">
        <v>6.27</v>
      </c>
      <c r="S302">
        <v>6.28</v>
      </c>
      <c r="T302">
        <v>6.25</v>
      </c>
      <c r="U302">
        <v>6.28</v>
      </c>
      <c r="V302">
        <v>6.26</v>
      </c>
      <c r="W302">
        <v>6.35</v>
      </c>
    </row>
    <row r="303" spans="1:23" x14ac:dyDescent="0.35">
      <c r="A303" s="2" t="s">
        <v>267</v>
      </c>
      <c r="B303">
        <v>12.22</v>
      </c>
      <c r="C303">
        <v>12.13</v>
      </c>
      <c r="D303">
        <v>12.46</v>
      </c>
      <c r="E303">
        <v>12.62</v>
      </c>
      <c r="F303">
        <v>12.34</v>
      </c>
      <c r="G303">
        <v>12.21</v>
      </c>
      <c r="H303">
        <v>11.51</v>
      </c>
      <c r="I303">
        <v>11.14</v>
      </c>
      <c r="J303">
        <v>11.38</v>
      </c>
      <c r="K303">
        <v>11.39</v>
      </c>
      <c r="L303">
        <v>11.76</v>
      </c>
      <c r="M303">
        <v>12.05</v>
      </c>
      <c r="N303">
        <v>12.25</v>
      </c>
      <c r="O303">
        <v>12.42</v>
      </c>
      <c r="P303">
        <v>12.41</v>
      </c>
      <c r="Q303">
        <v>12.6</v>
      </c>
      <c r="R303">
        <v>12.29</v>
      </c>
      <c r="S303">
        <v>12.3</v>
      </c>
      <c r="T303">
        <v>12.43</v>
      </c>
      <c r="U303">
        <v>12.26</v>
      </c>
      <c r="V303">
        <v>12.3</v>
      </c>
      <c r="W303">
        <v>11.92</v>
      </c>
    </row>
    <row r="304" spans="1:23" x14ac:dyDescent="0.35">
      <c r="A304" s="2" t="s">
        <v>268</v>
      </c>
      <c r="B304">
        <v>0.18</v>
      </c>
      <c r="C304">
        <v>0.18</v>
      </c>
      <c r="D304">
        <v>0.18</v>
      </c>
      <c r="E304">
        <v>0.18</v>
      </c>
      <c r="F304">
        <v>0.18</v>
      </c>
      <c r="G304">
        <v>0.18</v>
      </c>
      <c r="H304">
        <v>0.18</v>
      </c>
      <c r="I304">
        <v>0.18</v>
      </c>
      <c r="J304">
        <v>0.19</v>
      </c>
      <c r="K304">
        <v>0.19</v>
      </c>
      <c r="L304">
        <v>0.19</v>
      </c>
      <c r="M304">
        <v>0.18</v>
      </c>
      <c r="N304">
        <v>0.18</v>
      </c>
      <c r="O304">
        <v>0.18</v>
      </c>
      <c r="P304">
        <v>0.18</v>
      </c>
      <c r="Q304">
        <v>0.18</v>
      </c>
      <c r="R304">
        <v>0.19</v>
      </c>
      <c r="S304">
        <v>0.19</v>
      </c>
      <c r="T304">
        <v>0.19</v>
      </c>
      <c r="U304">
        <v>0.19</v>
      </c>
      <c r="V304">
        <v>0.19</v>
      </c>
      <c r="W304">
        <v>0.19</v>
      </c>
    </row>
    <row r="305" spans="1:23" x14ac:dyDescent="0.35">
      <c r="A305" s="2" t="s">
        <v>269</v>
      </c>
      <c r="B305">
        <v>1.6</v>
      </c>
      <c r="C305">
        <v>1.63</v>
      </c>
      <c r="D305">
        <v>1.62</v>
      </c>
      <c r="E305">
        <v>1.6</v>
      </c>
      <c r="F305">
        <v>1.63</v>
      </c>
      <c r="G305">
        <v>1.65</v>
      </c>
      <c r="H305">
        <v>1.68</v>
      </c>
      <c r="I305">
        <v>1.68</v>
      </c>
      <c r="J305">
        <v>1.68</v>
      </c>
      <c r="K305">
        <v>1.66</v>
      </c>
      <c r="L305">
        <v>1.63</v>
      </c>
      <c r="M305">
        <v>1.63</v>
      </c>
      <c r="N305">
        <v>1.63</v>
      </c>
      <c r="O305">
        <v>1.63</v>
      </c>
      <c r="P305">
        <v>1.63</v>
      </c>
      <c r="Q305">
        <v>1.64</v>
      </c>
      <c r="R305">
        <v>1.66</v>
      </c>
      <c r="S305">
        <v>1.65</v>
      </c>
      <c r="T305">
        <v>1.68</v>
      </c>
      <c r="U305">
        <v>1.68</v>
      </c>
      <c r="V305">
        <v>1.67</v>
      </c>
      <c r="W305">
        <v>1.65</v>
      </c>
    </row>
    <row r="306" spans="1:23" x14ac:dyDescent="0.35">
      <c r="A306" s="2" t="s">
        <v>270</v>
      </c>
      <c r="B306">
        <v>0.88</v>
      </c>
      <c r="C306">
        <v>0.9</v>
      </c>
      <c r="D306">
        <v>0.86</v>
      </c>
      <c r="E306">
        <v>0.88</v>
      </c>
      <c r="F306">
        <v>0.9</v>
      </c>
      <c r="G306">
        <v>0.9</v>
      </c>
      <c r="H306">
        <v>0.9</v>
      </c>
      <c r="I306">
        <v>0.9</v>
      </c>
      <c r="J306">
        <v>0.86</v>
      </c>
      <c r="K306">
        <v>0.9</v>
      </c>
      <c r="L306">
        <v>0.9</v>
      </c>
      <c r="M306">
        <v>0.9</v>
      </c>
      <c r="N306">
        <v>0.95</v>
      </c>
      <c r="O306">
        <v>0.93</v>
      </c>
      <c r="P306">
        <v>0.93</v>
      </c>
      <c r="Q306">
        <v>0.95</v>
      </c>
      <c r="R306">
        <v>0.95</v>
      </c>
      <c r="S306">
        <v>0.95</v>
      </c>
      <c r="T306">
        <v>0.93</v>
      </c>
      <c r="U306">
        <v>0.94</v>
      </c>
      <c r="V306">
        <v>0.92</v>
      </c>
      <c r="W306">
        <v>0.89</v>
      </c>
    </row>
    <row r="307" spans="1:23" x14ac:dyDescent="0.35">
      <c r="A307" s="2" t="s">
        <v>823</v>
      </c>
      <c r="B307">
        <v>18.829999999999998</v>
      </c>
      <c r="C307">
        <v>19.010000000000002</v>
      </c>
      <c r="D307">
        <v>19.04</v>
      </c>
      <c r="E307">
        <v>19.100000000000001</v>
      </c>
      <c r="F307">
        <v>19.260000000000002</v>
      </c>
      <c r="G307">
        <v>19.329999999999998</v>
      </c>
      <c r="H307">
        <v>19.52</v>
      </c>
      <c r="I307">
        <v>19.38</v>
      </c>
      <c r="J307">
        <v>19.45</v>
      </c>
      <c r="K307">
        <v>19.39</v>
      </c>
      <c r="L307">
        <v>19.559999999999999</v>
      </c>
      <c r="M307">
        <v>19.670000000000002</v>
      </c>
      <c r="N307">
        <v>19.77</v>
      </c>
      <c r="O307">
        <v>19.829999999999998</v>
      </c>
      <c r="P307">
        <v>20.32</v>
      </c>
      <c r="Q307">
        <v>20.22</v>
      </c>
      <c r="R307">
        <v>20.149999999999999</v>
      </c>
      <c r="S307">
        <v>20.03</v>
      </c>
      <c r="T307">
        <v>19.940000000000001</v>
      </c>
      <c r="U307">
        <v>19.87</v>
      </c>
      <c r="V307">
        <v>19.97</v>
      </c>
      <c r="W307">
        <v>20.14</v>
      </c>
    </row>
    <row r="308" spans="1:23" x14ac:dyDescent="0.35">
      <c r="A308" s="2" t="s">
        <v>271</v>
      </c>
      <c r="B308">
        <v>5.42</v>
      </c>
      <c r="C308">
        <v>5.45</v>
      </c>
      <c r="D308">
        <v>5.48</v>
      </c>
      <c r="E308">
        <v>5.45</v>
      </c>
      <c r="F308">
        <v>5.56</v>
      </c>
      <c r="G308">
        <v>5.55</v>
      </c>
      <c r="H308">
        <v>5.7</v>
      </c>
      <c r="I308">
        <v>5.61</v>
      </c>
      <c r="J308">
        <v>5.6</v>
      </c>
      <c r="K308">
        <v>5.68</v>
      </c>
      <c r="L308">
        <v>5.71</v>
      </c>
      <c r="M308">
        <v>5.6</v>
      </c>
      <c r="N308">
        <v>5.67</v>
      </c>
      <c r="O308">
        <v>5.68</v>
      </c>
      <c r="P308">
        <v>5.75</v>
      </c>
      <c r="Q308">
        <v>5.75</v>
      </c>
      <c r="R308">
        <v>5.72</v>
      </c>
      <c r="S308">
        <v>5.78</v>
      </c>
      <c r="T308">
        <v>5.82</v>
      </c>
      <c r="U308">
        <v>5.82</v>
      </c>
      <c r="V308">
        <v>5.81</v>
      </c>
      <c r="W308">
        <v>5.81</v>
      </c>
    </row>
    <row r="309" spans="1:23" x14ac:dyDescent="0.35">
      <c r="A309" s="2" t="s">
        <v>824</v>
      </c>
      <c r="B309">
        <v>60.22</v>
      </c>
      <c r="C309">
        <v>59.86</v>
      </c>
      <c r="D309">
        <v>60.17</v>
      </c>
      <c r="E309">
        <v>61</v>
      </c>
      <c r="F309">
        <v>61.11</v>
      </c>
      <c r="G309">
        <v>61.16</v>
      </c>
      <c r="H309">
        <v>61.37</v>
      </c>
      <c r="I309">
        <v>61.26</v>
      </c>
      <c r="J309">
        <v>61.16</v>
      </c>
      <c r="K309">
        <v>60.85</v>
      </c>
      <c r="L309">
        <v>60.9</v>
      </c>
      <c r="M309">
        <v>61.11</v>
      </c>
      <c r="N309">
        <v>61.11</v>
      </c>
      <c r="O309">
        <v>61.05</v>
      </c>
      <c r="P309">
        <v>61.21</v>
      </c>
      <c r="Q309">
        <v>61.21</v>
      </c>
      <c r="R309">
        <v>61.31</v>
      </c>
      <c r="S309">
        <v>60.79</v>
      </c>
      <c r="T309">
        <v>60.79</v>
      </c>
      <c r="U309">
        <v>60.64</v>
      </c>
      <c r="V309">
        <v>60.59</v>
      </c>
      <c r="W309">
        <v>60.79</v>
      </c>
    </row>
    <row r="310" spans="1:23" x14ac:dyDescent="0.35">
      <c r="A310" s="2" t="s">
        <v>825</v>
      </c>
      <c r="B310">
        <v>0.73</v>
      </c>
      <c r="C310">
        <v>0.73</v>
      </c>
      <c r="D310">
        <v>0.73</v>
      </c>
      <c r="E310">
        <v>0.73</v>
      </c>
      <c r="F310">
        <v>0.73</v>
      </c>
      <c r="G310">
        <v>0.73</v>
      </c>
      <c r="H310">
        <v>0.73</v>
      </c>
      <c r="I310">
        <v>0.73</v>
      </c>
      <c r="J310">
        <v>0.73</v>
      </c>
      <c r="K310">
        <v>0.73</v>
      </c>
      <c r="L310">
        <v>0.73</v>
      </c>
      <c r="M310">
        <v>0.73</v>
      </c>
      <c r="N310">
        <v>0.73</v>
      </c>
      <c r="O310">
        <v>0.73</v>
      </c>
      <c r="P310">
        <v>0.73</v>
      </c>
      <c r="Q310">
        <v>0.73</v>
      </c>
      <c r="R310">
        <v>0.73</v>
      </c>
      <c r="S310">
        <v>0.73</v>
      </c>
      <c r="T310">
        <v>0.73</v>
      </c>
      <c r="U310">
        <v>0.73</v>
      </c>
      <c r="V310">
        <v>0.73</v>
      </c>
      <c r="W310">
        <v>0.73</v>
      </c>
    </row>
    <row r="311" spans="1:23" x14ac:dyDescent="0.35">
      <c r="A311" s="2" t="s">
        <v>826</v>
      </c>
      <c r="B311">
        <v>106.52</v>
      </c>
      <c r="C311">
        <v>106.69</v>
      </c>
      <c r="D311">
        <v>107.25</v>
      </c>
      <c r="E311">
        <v>107.82</v>
      </c>
      <c r="F311">
        <v>108.06</v>
      </c>
      <c r="G311">
        <v>109.03</v>
      </c>
      <c r="H311">
        <v>110.32</v>
      </c>
      <c r="I311">
        <v>110.16</v>
      </c>
      <c r="J311">
        <v>110.72</v>
      </c>
      <c r="K311">
        <v>111.45</v>
      </c>
      <c r="L311">
        <v>112.26</v>
      </c>
      <c r="M311">
        <v>112.02</v>
      </c>
      <c r="N311">
        <v>112.58</v>
      </c>
      <c r="O311">
        <v>112.58</v>
      </c>
      <c r="P311">
        <v>113.07</v>
      </c>
      <c r="Q311">
        <v>113.79</v>
      </c>
      <c r="R311">
        <v>113.87</v>
      </c>
      <c r="S311">
        <v>114.2</v>
      </c>
      <c r="T311">
        <v>114.52</v>
      </c>
      <c r="U311">
        <v>114.04</v>
      </c>
      <c r="V311">
        <v>114.84</v>
      </c>
      <c r="W311">
        <v>115.08</v>
      </c>
    </row>
    <row r="312" spans="1:23" x14ac:dyDescent="0.35">
      <c r="A312" s="2" t="s">
        <v>272</v>
      </c>
      <c r="B312">
        <v>4.55</v>
      </c>
      <c r="C312">
        <v>4.55</v>
      </c>
      <c r="D312">
        <v>4.55</v>
      </c>
      <c r="E312">
        <v>4.6900000000000004</v>
      </c>
      <c r="F312">
        <v>4.6900000000000004</v>
      </c>
      <c r="G312">
        <v>4.6900000000000004</v>
      </c>
      <c r="H312">
        <v>4.6900000000000004</v>
      </c>
      <c r="I312">
        <v>4.8099999999999996</v>
      </c>
      <c r="J312">
        <v>4.8099999999999996</v>
      </c>
      <c r="K312">
        <v>4.9400000000000004</v>
      </c>
      <c r="L312">
        <v>4.9400000000000004</v>
      </c>
      <c r="M312">
        <v>4.9400000000000004</v>
      </c>
      <c r="N312">
        <v>4.8600000000000003</v>
      </c>
      <c r="O312">
        <v>4.87</v>
      </c>
      <c r="P312">
        <v>4.8499999999999996</v>
      </c>
      <c r="Q312">
        <v>4.8499999999999996</v>
      </c>
      <c r="R312">
        <v>4.8499999999999996</v>
      </c>
      <c r="S312">
        <v>4.8499999999999996</v>
      </c>
      <c r="T312">
        <v>4.8499999999999996</v>
      </c>
      <c r="U312">
        <v>4.8499999999999996</v>
      </c>
      <c r="V312">
        <v>4.8499999999999996</v>
      </c>
      <c r="W312">
        <v>4.8499999999999996</v>
      </c>
    </row>
    <row r="313" spans="1:23" x14ac:dyDescent="0.35">
      <c r="A313" s="2" t="s">
        <v>273</v>
      </c>
      <c r="B313">
        <v>1.22</v>
      </c>
      <c r="C313">
        <v>1.22</v>
      </c>
      <c r="D313">
        <v>1.21</v>
      </c>
      <c r="E313">
        <v>1.22</v>
      </c>
      <c r="F313">
        <v>1.24</v>
      </c>
      <c r="G313">
        <v>1.24</v>
      </c>
      <c r="H313">
        <v>1.24</v>
      </c>
      <c r="I313">
        <v>1.24</v>
      </c>
      <c r="J313">
        <v>1.24</v>
      </c>
      <c r="K313">
        <v>1.24</v>
      </c>
      <c r="L313">
        <v>1.25</v>
      </c>
      <c r="M313">
        <v>1.25</v>
      </c>
      <c r="N313">
        <v>1.25</v>
      </c>
      <c r="O313">
        <v>1.25</v>
      </c>
      <c r="P313">
        <v>1.27</v>
      </c>
      <c r="Q313">
        <v>1.27</v>
      </c>
      <c r="R313">
        <v>1.27</v>
      </c>
      <c r="S313">
        <v>1.27</v>
      </c>
      <c r="T313">
        <v>1.27</v>
      </c>
      <c r="U313">
        <v>1.27</v>
      </c>
      <c r="V313">
        <v>1.27</v>
      </c>
      <c r="W313">
        <v>1.27</v>
      </c>
    </row>
    <row r="314" spans="1:23" x14ac:dyDescent="0.35">
      <c r="A314" s="2" t="s">
        <v>274</v>
      </c>
      <c r="B314">
        <v>2.58</v>
      </c>
      <c r="C314">
        <v>2.59</v>
      </c>
      <c r="D314">
        <v>2.62</v>
      </c>
      <c r="E314">
        <v>2.65</v>
      </c>
      <c r="F314">
        <v>2.64</v>
      </c>
      <c r="G314">
        <v>2.66</v>
      </c>
      <c r="H314">
        <v>2.65</v>
      </c>
      <c r="I314">
        <v>2.65</v>
      </c>
      <c r="J314">
        <v>2.69</v>
      </c>
      <c r="K314">
        <v>2.68</v>
      </c>
      <c r="L314">
        <v>2.69</v>
      </c>
      <c r="M314">
        <v>2.71</v>
      </c>
      <c r="N314">
        <v>2.73</v>
      </c>
      <c r="O314">
        <v>2.78</v>
      </c>
      <c r="P314">
        <v>2.8</v>
      </c>
      <c r="Q314">
        <v>2.77</v>
      </c>
      <c r="R314">
        <v>2.78</v>
      </c>
      <c r="S314">
        <v>2.8</v>
      </c>
      <c r="T314">
        <v>2.79</v>
      </c>
      <c r="U314">
        <v>2.81</v>
      </c>
      <c r="V314">
        <v>2.81</v>
      </c>
      <c r="W314">
        <v>2.81</v>
      </c>
    </row>
    <row r="315" spans="1:23" x14ac:dyDescent="0.35">
      <c r="A315" s="2" t="s">
        <v>275</v>
      </c>
      <c r="B315">
        <v>0.24</v>
      </c>
      <c r="C315">
        <v>0.24</v>
      </c>
      <c r="D315">
        <v>0.24</v>
      </c>
      <c r="E315">
        <v>0.24</v>
      </c>
      <c r="F315">
        <v>0.24</v>
      </c>
      <c r="G315">
        <v>0.25</v>
      </c>
      <c r="H315">
        <v>0.25</v>
      </c>
      <c r="I315">
        <v>0.25</v>
      </c>
      <c r="J315">
        <v>0.25</v>
      </c>
      <c r="K315">
        <v>0.25</v>
      </c>
      <c r="L315">
        <v>0.25</v>
      </c>
      <c r="M315">
        <v>0.25</v>
      </c>
      <c r="N315">
        <v>0.25</v>
      </c>
      <c r="O315">
        <v>0.25</v>
      </c>
      <c r="P315">
        <v>0.25</v>
      </c>
      <c r="Q315">
        <v>0.24</v>
      </c>
      <c r="R315">
        <v>0.25</v>
      </c>
      <c r="S315">
        <v>0.25</v>
      </c>
      <c r="T315">
        <v>0.25</v>
      </c>
      <c r="U315">
        <v>0.25</v>
      </c>
      <c r="V315">
        <v>0.25</v>
      </c>
      <c r="W315">
        <v>0.25</v>
      </c>
    </row>
    <row r="316" spans="1:23" x14ac:dyDescent="0.35">
      <c r="A316" s="2" t="s">
        <v>276</v>
      </c>
      <c r="B316">
        <v>1.87</v>
      </c>
      <c r="C316">
        <v>1.93</v>
      </c>
      <c r="D316">
        <v>1.93</v>
      </c>
      <c r="E316">
        <v>1.93</v>
      </c>
      <c r="F316">
        <v>1.93</v>
      </c>
      <c r="G316">
        <v>1.93</v>
      </c>
      <c r="H316">
        <v>1.93</v>
      </c>
      <c r="I316">
        <v>1.93</v>
      </c>
      <c r="J316">
        <v>1.93</v>
      </c>
      <c r="K316">
        <v>1.99</v>
      </c>
      <c r="L316">
        <v>1.99</v>
      </c>
      <c r="M316">
        <v>1.99</v>
      </c>
      <c r="N316">
        <v>1.99</v>
      </c>
      <c r="O316">
        <v>1.99</v>
      </c>
      <c r="P316">
        <v>1.99</v>
      </c>
      <c r="Q316">
        <v>1.99</v>
      </c>
      <c r="R316">
        <v>1.99</v>
      </c>
      <c r="S316">
        <v>1.99</v>
      </c>
      <c r="T316">
        <v>1.99</v>
      </c>
      <c r="U316">
        <v>1.99</v>
      </c>
      <c r="V316">
        <v>2.0499999999999998</v>
      </c>
      <c r="W316">
        <v>2.0499999999999998</v>
      </c>
    </row>
    <row r="317" spans="1:23" x14ac:dyDescent="0.35">
      <c r="A317" s="2" t="s">
        <v>277</v>
      </c>
      <c r="B317">
        <v>4.76</v>
      </c>
      <c r="C317">
        <v>4.8600000000000003</v>
      </c>
      <c r="D317">
        <v>4.8600000000000003</v>
      </c>
      <c r="E317">
        <v>4.7699999999999996</v>
      </c>
      <c r="F317">
        <v>4.82</v>
      </c>
      <c r="G317">
        <v>4.82</v>
      </c>
      <c r="H317">
        <v>4.82</v>
      </c>
      <c r="I317">
        <v>4.78</v>
      </c>
      <c r="J317">
        <v>4.8499999999999996</v>
      </c>
      <c r="K317">
        <v>4.8499999999999996</v>
      </c>
      <c r="L317">
        <v>4.8499999999999996</v>
      </c>
      <c r="M317">
        <v>4.8499999999999996</v>
      </c>
      <c r="N317">
        <v>4.82</v>
      </c>
      <c r="O317">
        <v>4.76</v>
      </c>
      <c r="P317">
        <v>4.6900000000000004</v>
      </c>
      <c r="Q317">
        <v>4.84</v>
      </c>
      <c r="R317">
        <v>4.8099999999999996</v>
      </c>
      <c r="S317">
        <v>4.88</v>
      </c>
      <c r="T317">
        <v>4.9000000000000004</v>
      </c>
      <c r="U317">
        <v>4.8899999999999997</v>
      </c>
      <c r="V317">
        <v>4.83</v>
      </c>
      <c r="W317">
        <v>4.7699999999999996</v>
      </c>
    </row>
    <row r="318" spans="1:23" x14ac:dyDescent="0.35">
      <c r="A318" s="2" t="s">
        <v>278</v>
      </c>
      <c r="B318">
        <v>10.49</v>
      </c>
      <c r="C318">
        <v>10.52</v>
      </c>
      <c r="D318">
        <v>10.55</v>
      </c>
      <c r="E318">
        <v>10.55</v>
      </c>
      <c r="F318">
        <v>10.55</v>
      </c>
      <c r="G318">
        <v>10.58</v>
      </c>
      <c r="H318">
        <v>10.82</v>
      </c>
      <c r="I318">
        <v>10.93</v>
      </c>
      <c r="J318">
        <v>10.91</v>
      </c>
      <c r="K318">
        <v>10.9</v>
      </c>
      <c r="L318">
        <v>10.9</v>
      </c>
      <c r="M318">
        <v>10.93</v>
      </c>
      <c r="N318">
        <v>10.93</v>
      </c>
      <c r="O318">
        <v>10.94</v>
      </c>
      <c r="P318">
        <v>10.93</v>
      </c>
      <c r="Q318">
        <v>11.02</v>
      </c>
      <c r="R318">
        <v>11.11</v>
      </c>
      <c r="S318">
        <v>11.08</v>
      </c>
      <c r="T318">
        <v>11.11</v>
      </c>
      <c r="U318">
        <v>11.1</v>
      </c>
      <c r="V318">
        <v>11.1</v>
      </c>
      <c r="W318">
        <v>11.1</v>
      </c>
    </row>
    <row r="319" spans="1:23" x14ac:dyDescent="0.35">
      <c r="A319" s="2" t="s">
        <v>827</v>
      </c>
      <c r="B319">
        <v>3.56</v>
      </c>
      <c r="C319">
        <v>3.57</v>
      </c>
      <c r="D319">
        <v>3.6</v>
      </c>
      <c r="E319">
        <v>3.61</v>
      </c>
      <c r="F319">
        <v>3.63</v>
      </c>
      <c r="G319">
        <v>3.64</v>
      </c>
      <c r="H319">
        <v>3.65</v>
      </c>
      <c r="I319">
        <v>3.64</v>
      </c>
      <c r="J319">
        <v>3.67</v>
      </c>
      <c r="K319">
        <v>3.74</v>
      </c>
      <c r="L319">
        <v>3.73</v>
      </c>
      <c r="M319">
        <v>3.71</v>
      </c>
      <c r="N319">
        <v>3.71</v>
      </c>
      <c r="O319">
        <v>3.71</v>
      </c>
      <c r="P319">
        <v>3.76</v>
      </c>
      <c r="Q319">
        <v>3.78</v>
      </c>
      <c r="R319">
        <v>3.8</v>
      </c>
      <c r="S319">
        <v>3.79</v>
      </c>
      <c r="T319">
        <v>3.78</v>
      </c>
      <c r="U319">
        <v>3.78</v>
      </c>
      <c r="V319">
        <v>3.78</v>
      </c>
      <c r="W319">
        <v>3.8</v>
      </c>
    </row>
    <row r="320" spans="1:23" x14ac:dyDescent="0.35">
      <c r="A320" s="2" t="s">
        <v>828</v>
      </c>
      <c r="B320">
        <v>341.9</v>
      </c>
      <c r="C320">
        <v>342.44</v>
      </c>
      <c r="D320">
        <v>340.26</v>
      </c>
      <c r="E320">
        <v>338.9</v>
      </c>
      <c r="F320">
        <v>343.26</v>
      </c>
      <c r="G320">
        <v>344.07</v>
      </c>
      <c r="H320">
        <v>346.25</v>
      </c>
      <c r="I320">
        <v>338.36</v>
      </c>
      <c r="J320">
        <v>344.07</v>
      </c>
      <c r="K320">
        <v>342.17</v>
      </c>
      <c r="L320">
        <v>342.44</v>
      </c>
      <c r="M320">
        <v>342.71</v>
      </c>
      <c r="N320">
        <v>341.9</v>
      </c>
      <c r="O320">
        <v>342.17</v>
      </c>
      <c r="P320">
        <v>347.61</v>
      </c>
      <c r="Q320">
        <v>346.52</v>
      </c>
      <c r="R320">
        <v>346.79</v>
      </c>
      <c r="S320">
        <v>345.43</v>
      </c>
      <c r="T320">
        <v>349.78</v>
      </c>
      <c r="U320">
        <v>350.6</v>
      </c>
      <c r="V320">
        <v>348.7</v>
      </c>
      <c r="W320">
        <v>349.24</v>
      </c>
    </row>
    <row r="321" spans="1:23" x14ac:dyDescent="0.35">
      <c r="A321" s="2" t="s">
        <v>829</v>
      </c>
      <c r="B321">
        <v>290.91000000000003</v>
      </c>
      <c r="C321">
        <v>291.83999999999997</v>
      </c>
      <c r="D321">
        <v>294.87</v>
      </c>
      <c r="E321">
        <v>297.89999999999998</v>
      </c>
      <c r="F321">
        <v>300.93</v>
      </c>
      <c r="G321">
        <v>301.16000000000003</v>
      </c>
      <c r="H321">
        <v>300.7</v>
      </c>
      <c r="I321">
        <v>302.79000000000002</v>
      </c>
      <c r="J321">
        <v>303.49</v>
      </c>
      <c r="K321">
        <v>304.43</v>
      </c>
      <c r="L321">
        <v>302.33</v>
      </c>
      <c r="M321">
        <v>303.26</v>
      </c>
      <c r="N321">
        <v>300</v>
      </c>
      <c r="O321">
        <v>299.76</v>
      </c>
      <c r="P321">
        <v>300.7</v>
      </c>
      <c r="Q321">
        <v>299.76</v>
      </c>
      <c r="R321">
        <v>300.23</v>
      </c>
      <c r="S321">
        <v>300</v>
      </c>
      <c r="T321">
        <v>299.3</v>
      </c>
      <c r="U321">
        <v>297.67</v>
      </c>
      <c r="V321">
        <v>297.43</v>
      </c>
      <c r="W321">
        <v>295.8</v>
      </c>
    </row>
    <row r="322" spans="1:23" x14ac:dyDescent="0.35">
      <c r="A322" s="2" t="s">
        <v>279</v>
      </c>
      <c r="B322">
        <v>10.49</v>
      </c>
      <c r="C322">
        <v>10.36</v>
      </c>
      <c r="D322">
        <v>10.61</v>
      </c>
      <c r="E322">
        <v>10.59</v>
      </c>
      <c r="F322">
        <v>10.59</v>
      </c>
      <c r="G322">
        <v>10.65</v>
      </c>
      <c r="H322">
        <v>10.65</v>
      </c>
      <c r="I322">
        <v>10.65</v>
      </c>
      <c r="J322">
        <v>10.65</v>
      </c>
      <c r="K322">
        <v>10.61</v>
      </c>
      <c r="L322">
        <v>10.54</v>
      </c>
      <c r="M322">
        <v>10.54</v>
      </c>
      <c r="N322">
        <v>11.01</v>
      </c>
      <c r="O322">
        <v>10.74</v>
      </c>
      <c r="P322">
        <v>10.220000000000001</v>
      </c>
      <c r="Q322">
        <v>10.220000000000001</v>
      </c>
      <c r="R322">
        <v>10.48</v>
      </c>
      <c r="S322">
        <v>10.48</v>
      </c>
      <c r="T322">
        <v>10.57</v>
      </c>
      <c r="U322">
        <v>10.57</v>
      </c>
      <c r="V322">
        <v>10.57</v>
      </c>
      <c r="W322">
        <v>10.220000000000001</v>
      </c>
    </row>
    <row r="323" spans="1:23" x14ac:dyDescent="0.35">
      <c r="A323" s="2" t="s">
        <v>280</v>
      </c>
      <c r="B323">
        <v>15.58</v>
      </c>
      <c r="C323">
        <v>15.42</v>
      </c>
      <c r="D323">
        <v>15.85</v>
      </c>
      <c r="E323">
        <v>15.73</v>
      </c>
      <c r="F323">
        <v>16.600000000000001</v>
      </c>
      <c r="G323">
        <v>16.96</v>
      </c>
      <c r="H323">
        <v>16.89</v>
      </c>
      <c r="I323">
        <v>17.41</v>
      </c>
      <c r="J323">
        <v>17.38</v>
      </c>
      <c r="K323">
        <v>17.190000000000001</v>
      </c>
      <c r="L323">
        <v>17.489999999999998</v>
      </c>
      <c r="M323">
        <v>17.41</v>
      </c>
      <c r="N323">
        <v>17.46</v>
      </c>
      <c r="O323">
        <v>17.23</v>
      </c>
      <c r="P323">
        <v>17.66</v>
      </c>
      <c r="Q323">
        <v>17.54</v>
      </c>
      <c r="R323">
        <v>17.59</v>
      </c>
      <c r="S323">
        <v>17.37</v>
      </c>
      <c r="T323">
        <v>17.489999999999998</v>
      </c>
      <c r="U323">
        <v>17.5</v>
      </c>
      <c r="V323">
        <v>17.47</v>
      </c>
      <c r="W323">
        <v>17.489999999999998</v>
      </c>
    </row>
    <row r="324" spans="1:23" x14ac:dyDescent="0.35">
      <c r="A324" s="2" t="s">
        <v>281</v>
      </c>
      <c r="B324">
        <v>2.67</v>
      </c>
      <c r="C324">
        <v>2.67</v>
      </c>
      <c r="D324">
        <v>2.71</v>
      </c>
      <c r="E324">
        <v>2.71</v>
      </c>
      <c r="F324">
        <v>2.71</v>
      </c>
      <c r="G324">
        <v>2.71</v>
      </c>
      <c r="H324">
        <v>2.71</v>
      </c>
      <c r="I324">
        <v>2.75</v>
      </c>
      <c r="J324">
        <v>2.75</v>
      </c>
      <c r="K324">
        <v>2.75</v>
      </c>
      <c r="L324">
        <v>2.75</v>
      </c>
      <c r="M324">
        <v>2.75</v>
      </c>
      <c r="N324">
        <v>2.75</v>
      </c>
      <c r="O324">
        <v>2.75</v>
      </c>
      <c r="P324">
        <v>2.75</v>
      </c>
      <c r="Q324">
        <v>2.75</v>
      </c>
      <c r="R324">
        <v>2.77</v>
      </c>
      <c r="S324">
        <v>2.77</v>
      </c>
      <c r="T324">
        <v>2.77</v>
      </c>
      <c r="U324">
        <v>2.77</v>
      </c>
      <c r="V324">
        <v>2.78</v>
      </c>
      <c r="W324">
        <v>2.83</v>
      </c>
    </row>
    <row r="325" spans="1:23" x14ac:dyDescent="0.35">
      <c r="A325" s="2" t="s">
        <v>282</v>
      </c>
      <c r="B325">
        <v>18.22</v>
      </c>
      <c r="C325">
        <v>18.22</v>
      </c>
      <c r="D325">
        <v>18.22</v>
      </c>
      <c r="E325">
        <v>18.22</v>
      </c>
      <c r="F325">
        <v>18.22</v>
      </c>
      <c r="G325">
        <v>18.22</v>
      </c>
      <c r="H325">
        <v>18.75</v>
      </c>
      <c r="I325">
        <v>18.75</v>
      </c>
      <c r="J325">
        <v>18.75</v>
      </c>
      <c r="K325">
        <v>18.75</v>
      </c>
      <c r="L325">
        <v>18.75</v>
      </c>
      <c r="M325">
        <v>18.75</v>
      </c>
      <c r="N325">
        <v>18.75</v>
      </c>
      <c r="O325">
        <v>18.75</v>
      </c>
      <c r="P325">
        <v>18.75</v>
      </c>
      <c r="Q325">
        <v>18.75</v>
      </c>
      <c r="R325">
        <v>18.75</v>
      </c>
      <c r="S325">
        <v>18.75</v>
      </c>
      <c r="T325">
        <v>18.75</v>
      </c>
      <c r="U325">
        <v>18.75</v>
      </c>
      <c r="V325">
        <v>18.75</v>
      </c>
      <c r="W325">
        <v>18.75</v>
      </c>
    </row>
    <row r="326" spans="1:23" x14ac:dyDescent="0.35">
      <c r="A326" s="2" t="s">
        <v>283</v>
      </c>
      <c r="B326">
        <v>6.21</v>
      </c>
      <c r="C326">
        <v>6.02</v>
      </c>
      <c r="D326">
        <v>6.01</v>
      </c>
      <c r="E326">
        <v>6.02</v>
      </c>
      <c r="F326">
        <v>6.03</v>
      </c>
      <c r="G326">
        <v>6.05</v>
      </c>
      <c r="H326">
        <v>6.05</v>
      </c>
      <c r="I326">
        <v>6.05</v>
      </c>
      <c r="J326">
        <v>6.31</v>
      </c>
      <c r="K326">
        <v>6.31</v>
      </c>
      <c r="L326">
        <v>6.44</v>
      </c>
      <c r="M326">
        <v>6.44</v>
      </c>
      <c r="N326">
        <v>6.42</v>
      </c>
      <c r="O326">
        <v>6.49</v>
      </c>
      <c r="P326">
        <v>6.48</v>
      </c>
      <c r="Q326">
        <v>6.48</v>
      </c>
      <c r="R326">
        <v>6.47</v>
      </c>
      <c r="S326">
        <v>6.47</v>
      </c>
      <c r="T326">
        <v>6.47</v>
      </c>
      <c r="U326">
        <v>6.52</v>
      </c>
      <c r="V326">
        <v>6.55</v>
      </c>
      <c r="W326">
        <v>6.5</v>
      </c>
    </row>
    <row r="327" spans="1:23" x14ac:dyDescent="0.35">
      <c r="A327" s="2" t="s">
        <v>284</v>
      </c>
      <c r="B327">
        <v>1.9</v>
      </c>
      <c r="C327">
        <v>1.9</v>
      </c>
      <c r="D327">
        <v>1.9</v>
      </c>
      <c r="E327">
        <v>1.91</v>
      </c>
      <c r="F327">
        <v>1.93</v>
      </c>
      <c r="G327">
        <v>1.93</v>
      </c>
      <c r="H327">
        <v>1.94</v>
      </c>
      <c r="I327">
        <v>1.94</v>
      </c>
      <c r="J327">
        <v>1.94</v>
      </c>
      <c r="K327">
        <v>1.94</v>
      </c>
      <c r="L327">
        <v>1.94</v>
      </c>
      <c r="M327">
        <v>1.94</v>
      </c>
      <c r="N327">
        <v>1.94</v>
      </c>
      <c r="O327">
        <v>1.94</v>
      </c>
      <c r="P327">
        <v>1.94</v>
      </c>
      <c r="Q327">
        <v>1.94</v>
      </c>
      <c r="R327">
        <v>1.92</v>
      </c>
      <c r="S327">
        <v>1.93</v>
      </c>
      <c r="T327">
        <v>1.94</v>
      </c>
      <c r="U327">
        <v>1.94</v>
      </c>
      <c r="V327">
        <v>1.94</v>
      </c>
      <c r="W327">
        <v>1.94</v>
      </c>
    </row>
    <row r="328" spans="1:23" x14ac:dyDescent="0.35">
      <c r="A328" s="2" t="s">
        <v>830</v>
      </c>
      <c r="B328">
        <v>0.21</v>
      </c>
      <c r="C328">
        <v>0.21</v>
      </c>
      <c r="D328">
        <v>0.21</v>
      </c>
      <c r="E328">
        <v>0.22</v>
      </c>
      <c r="F328">
        <v>0.22</v>
      </c>
      <c r="G328">
        <v>0.22</v>
      </c>
      <c r="H328">
        <v>0.22</v>
      </c>
      <c r="I328">
        <v>0.22</v>
      </c>
      <c r="J328">
        <v>0.23</v>
      </c>
      <c r="K328">
        <v>0.23</v>
      </c>
      <c r="L328">
        <v>0.23</v>
      </c>
      <c r="M328">
        <v>0.23</v>
      </c>
      <c r="N328">
        <v>0.23</v>
      </c>
      <c r="O328">
        <v>0.23</v>
      </c>
      <c r="P328">
        <v>0.23</v>
      </c>
      <c r="Q328">
        <v>0.23</v>
      </c>
      <c r="R328">
        <v>0.23</v>
      </c>
      <c r="S328">
        <v>0.23</v>
      </c>
      <c r="T328">
        <v>0.23</v>
      </c>
      <c r="U328">
        <v>0.23</v>
      </c>
      <c r="V328">
        <v>0.24</v>
      </c>
      <c r="W328">
        <v>0.24</v>
      </c>
    </row>
    <row r="329" spans="1:23" x14ac:dyDescent="0.35">
      <c r="A329" s="2" t="s">
        <v>831</v>
      </c>
      <c r="B329">
        <v>107.22</v>
      </c>
      <c r="C329">
        <v>108.2</v>
      </c>
      <c r="D329">
        <v>110.02</v>
      </c>
      <c r="E329">
        <v>108.55</v>
      </c>
      <c r="F329">
        <v>109.04</v>
      </c>
      <c r="G329">
        <v>109.81</v>
      </c>
      <c r="H329">
        <v>110.09</v>
      </c>
      <c r="I329">
        <v>109.95</v>
      </c>
      <c r="J329">
        <v>109.95</v>
      </c>
      <c r="K329">
        <v>109.25</v>
      </c>
      <c r="L329">
        <v>109.04</v>
      </c>
      <c r="M329">
        <v>110.3</v>
      </c>
      <c r="N329">
        <v>110.44</v>
      </c>
      <c r="O329">
        <v>110.65</v>
      </c>
      <c r="P329">
        <v>111.98</v>
      </c>
      <c r="Q329">
        <v>111.98</v>
      </c>
      <c r="R329">
        <v>111.91</v>
      </c>
      <c r="S329">
        <v>111.98</v>
      </c>
      <c r="T329">
        <v>111.84</v>
      </c>
      <c r="U329">
        <v>111.98</v>
      </c>
      <c r="V329">
        <v>111.98</v>
      </c>
      <c r="W329">
        <v>111.56</v>
      </c>
    </row>
    <row r="330" spans="1:23" x14ac:dyDescent="0.35">
      <c r="A330" s="2" t="s">
        <v>285</v>
      </c>
      <c r="B330">
        <v>14.92</v>
      </c>
      <c r="C330">
        <v>14.88</v>
      </c>
      <c r="D330">
        <v>15.39</v>
      </c>
      <c r="E330">
        <v>15.63</v>
      </c>
      <c r="F330">
        <v>15.81</v>
      </c>
      <c r="G330">
        <v>15.85</v>
      </c>
      <c r="H330">
        <v>15.68</v>
      </c>
      <c r="I330">
        <v>15.66</v>
      </c>
      <c r="J330">
        <v>15.62</v>
      </c>
      <c r="K330">
        <v>15.6</v>
      </c>
      <c r="L330">
        <v>15.59</v>
      </c>
      <c r="M330">
        <v>15.64</v>
      </c>
      <c r="N330">
        <v>15.57</v>
      </c>
      <c r="O330">
        <v>15.66</v>
      </c>
      <c r="P330">
        <v>15.7</v>
      </c>
      <c r="Q330">
        <v>15.54</v>
      </c>
      <c r="R330">
        <v>15.47</v>
      </c>
      <c r="S330">
        <v>15.47</v>
      </c>
      <c r="T330">
        <v>15.49</v>
      </c>
      <c r="U330">
        <v>15.49</v>
      </c>
      <c r="V330">
        <v>15.47</v>
      </c>
      <c r="W330">
        <v>15.47</v>
      </c>
    </row>
    <row r="331" spans="1:23" x14ac:dyDescent="0.35">
      <c r="A331" s="2" t="s">
        <v>832</v>
      </c>
      <c r="B331">
        <v>148.63999999999999</v>
      </c>
      <c r="C331">
        <v>151.25</v>
      </c>
      <c r="D331">
        <v>157.9</v>
      </c>
      <c r="E331">
        <v>158.99</v>
      </c>
      <c r="F331">
        <v>154.96</v>
      </c>
      <c r="G331">
        <v>149.94999999999999</v>
      </c>
      <c r="H331">
        <v>155.38999999999999</v>
      </c>
      <c r="I331">
        <v>159.75</v>
      </c>
      <c r="J331">
        <v>156.81</v>
      </c>
      <c r="K331">
        <v>156.15</v>
      </c>
      <c r="L331">
        <v>158.66</v>
      </c>
      <c r="M331">
        <v>165.85</v>
      </c>
      <c r="N331">
        <v>163.56</v>
      </c>
      <c r="O331">
        <v>166.72</v>
      </c>
      <c r="P331">
        <v>166.93</v>
      </c>
      <c r="Q331">
        <v>173.25</v>
      </c>
      <c r="R331">
        <v>171.62</v>
      </c>
      <c r="S331">
        <v>171.29</v>
      </c>
      <c r="T331">
        <v>163.89</v>
      </c>
      <c r="U331">
        <v>167.81</v>
      </c>
      <c r="V331">
        <v>168.02</v>
      </c>
      <c r="W331">
        <v>166.39</v>
      </c>
    </row>
    <row r="332" spans="1:23" x14ac:dyDescent="0.35">
      <c r="A332" s="2" t="s">
        <v>286</v>
      </c>
      <c r="B332">
        <v>0.22</v>
      </c>
      <c r="C332">
        <v>0.21</v>
      </c>
      <c r="D332">
        <v>0.21</v>
      </c>
      <c r="E332">
        <v>0.21</v>
      </c>
      <c r="F332">
        <v>0.21</v>
      </c>
      <c r="G332">
        <v>0.2</v>
      </c>
      <c r="H332">
        <v>0.22</v>
      </c>
      <c r="I332">
        <v>0.22</v>
      </c>
      <c r="J332">
        <v>0.21</v>
      </c>
      <c r="K332">
        <v>0.22</v>
      </c>
      <c r="L332">
        <v>0.22</v>
      </c>
      <c r="M332">
        <v>0.21</v>
      </c>
      <c r="N332">
        <v>0.21</v>
      </c>
      <c r="O332">
        <v>0.23</v>
      </c>
      <c r="P332">
        <v>0.23</v>
      </c>
      <c r="Q332">
        <v>0.22</v>
      </c>
      <c r="R332">
        <v>0.21</v>
      </c>
      <c r="S332">
        <v>0.21</v>
      </c>
      <c r="T332">
        <v>0.22</v>
      </c>
      <c r="U332">
        <v>0.2</v>
      </c>
      <c r="V332">
        <v>0.21</v>
      </c>
      <c r="W332">
        <v>0.22</v>
      </c>
    </row>
    <row r="333" spans="1:23" x14ac:dyDescent="0.35">
      <c r="A333" s="2" t="s">
        <v>287</v>
      </c>
      <c r="B333">
        <v>7.34</v>
      </c>
      <c r="C333">
        <v>7.29</v>
      </c>
      <c r="D333">
        <v>7.64</v>
      </c>
      <c r="E333">
        <v>7.58</v>
      </c>
      <c r="F333">
        <v>7.55</v>
      </c>
      <c r="G333">
        <v>7.45</v>
      </c>
      <c r="H333">
        <v>7.36</v>
      </c>
      <c r="I333">
        <v>7.39</v>
      </c>
      <c r="J333">
        <v>7.29</v>
      </c>
      <c r="K333">
        <v>7.33</v>
      </c>
      <c r="L333">
        <v>7.22</v>
      </c>
      <c r="M333">
        <v>7.22</v>
      </c>
      <c r="N333">
        <v>7.18</v>
      </c>
      <c r="O333">
        <v>7.16</v>
      </c>
      <c r="P333">
        <v>7.15</v>
      </c>
      <c r="Q333">
        <v>7.15</v>
      </c>
      <c r="R333">
        <v>7.03</v>
      </c>
      <c r="S333">
        <v>7.07</v>
      </c>
      <c r="T333">
        <v>7.07</v>
      </c>
      <c r="U333">
        <v>7.07</v>
      </c>
      <c r="V333">
        <v>6.99</v>
      </c>
      <c r="W333">
        <v>7.01</v>
      </c>
    </row>
    <row r="334" spans="1:23" x14ac:dyDescent="0.35">
      <c r="A334" s="2" t="s">
        <v>288</v>
      </c>
      <c r="B334">
        <v>0</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row>
    <row r="335" spans="1:23" x14ac:dyDescent="0.35">
      <c r="A335" s="2" t="s">
        <v>289</v>
      </c>
      <c r="B335">
        <v>546.78</v>
      </c>
      <c r="C335">
        <v>548.1</v>
      </c>
      <c r="D335">
        <v>558.66999999999996</v>
      </c>
      <c r="E335">
        <v>565.61</v>
      </c>
      <c r="F335">
        <v>567.26</v>
      </c>
      <c r="G335">
        <v>563.96</v>
      </c>
      <c r="H335">
        <v>570.24</v>
      </c>
      <c r="I335">
        <v>584.77</v>
      </c>
      <c r="J335">
        <v>589.4</v>
      </c>
      <c r="K335">
        <v>593.36</v>
      </c>
      <c r="L335">
        <v>600.96</v>
      </c>
      <c r="M335">
        <v>609.22</v>
      </c>
      <c r="N335">
        <v>617.80999999999995</v>
      </c>
      <c r="O335">
        <v>612.52</v>
      </c>
      <c r="P335">
        <v>604.59</v>
      </c>
      <c r="Q335">
        <v>606.91</v>
      </c>
      <c r="R335">
        <v>605.26</v>
      </c>
      <c r="S335">
        <v>611.86</v>
      </c>
      <c r="T335">
        <v>618.79999999999995</v>
      </c>
      <c r="U335">
        <v>628.04999999999995</v>
      </c>
      <c r="V335">
        <v>641.6</v>
      </c>
      <c r="W335">
        <v>652.16999999999996</v>
      </c>
    </row>
    <row r="336" spans="1:23" x14ac:dyDescent="0.35">
      <c r="A336" s="2" t="s">
        <v>290</v>
      </c>
      <c r="B336">
        <v>223.64</v>
      </c>
      <c r="C336">
        <v>221.99</v>
      </c>
      <c r="D336">
        <v>223.91</v>
      </c>
      <c r="E336">
        <v>225.7</v>
      </c>
      <c r="F336">
        <v>226.66</v>
      </c>
      <c r="G336">
        <v>227.21</v>
      </c>
      <c r="H336">
        <v>228.17</v>
      </c>
      <c r="I336">
        <v>231.74</v>
      </c>
      <c r="J336">
        <v>235.72</v>
      </c>
      <c r="K336">
        <v>238.33</v>
      </c>
      <c r="L336">
        <v>237.92</v>
      </c>
      <c r="M336">
        <v>238.47</v>
      </c>
      <c r="N336">
        <v>239.7</v>
      </c>
      <c r="O336">
        <v>241.07</v>
      </c>
      <c r="P336">
        <v>240.8</v>
      </c>
      <c r="Q336">
        <v>241.9</v>
      </c>
      <c r="R336">
        <v>243.27</v>
      </c>
      <c r="S336">
        <v>244.64</v>
      </c>
      <c r="T336">
        <v>248.76</v>
      </c>
      <c r="U336">
        <v>253.02</v>
      </c>
      <c r="V336">
        <v>256.72000000000003</v>
      </c>
      <c r="W336">
        <v>261.12</v>
      </c>
    </row>
    <row r="337" spans="1:23" x14ac:dyDescent="0.35">
      <c r="A337" s="2" t="s">
        <v>291</v>
      </c>
      <c r="B337">
        <v>2.25</v>
      </c>
      <c r="C337">
        <v>2.31</v>
      </c>
      <c r="D337">
        <v>2.29</v>
      </c>
      <c r="E337">
        <v>2.69</v>
      </c>
      <c r="F337">
        <v>2.86</v>
      </c>
      <c r="G337">
        <v>2.88</v>
      </c>
      <c r="H337">
        <v>2.88</v>
      </c>
      <c r="I337">
        <v>2.87</v>
      </c>
      <c r="J337">
        <v>2.88</v>
      </c>
      <c r="K337">
        <v>2.84</v>
      </c>
      <c r="L337">
        <v>2.93</v>
      </c>
      <c r="M337">
        <v>2.98</v>
      </c>
      <c r="N337">
        <v>2.94</v>
      </c>
      <c r="O337">
        <v>2.93</v>
      </c>
      <c r="P337">
        <v>2.68</v>
      </c>
      <c r="Q337">
        <v>2.4900000000000002</v>
      </c>
      <c r="R337">
        <v>2.2999999999999998</v>
      </c>
      <c r="S337">
        <v>2.35</v>
      </c>
      <c r="T337">
        <v>2.34</v>
      </c>
      <c r="U337">
        <v>2.35</v>
      </c>
      <c r="V337">
        <v>2.4</v>
      </c>
      <c r="W337">
        <v>2.48</v>
      </c>
    </row>
    <row r="338" spans="1:23" x14ac:dyDescent="0.35">
      <c r="A338" s="2" t="s">
        <v>292</v>
      </c>
      <c r="B338">
        <v>14.9</v>
      </c>
      <c r="C338">
        <v>14.93</v>
      </c>
      <c r="D338">
        <v>16.18</v>
      </c>
      <c r="E338">
        <v>17.399999999999999</v>
      </c>
      <c r="F338">
        <v>17.68</v>
      </c>
      <c r="G338">
        <v>18.38</v>
      </c>
      <c r="H338">
        <v>19.989999999999998</v>
      </c>
      <c r="I338">
        <v>21.09</v>
      </c>
      <c r="J338">
        <v>21.9</v>
      </c>
      <c r="K338">
        <v>23.54</v>
      </c>
      <c r="L338">
        <v>22.86</v>
      </c>
      <c r="M338">
        <v>21.07</v>
      </c>
      <c r="N338">
        <v>21.18</v>
      </c>
      <c r="O338">
        <v>20.440000000000001</v>
      </c>
      <c r="P338">
        <v>20.79</v>
      </c>
      <c r="Q338">
        <v>21.64</v>
      </c>
      <c r="R338">
        <v>20.92</v>
      </c>
      <c r="S338">
        <v>20.11</v>
      </c>
      <c r="T338">
        <v>18.98</v>
      </c>
      <c r="U338">
        <v>19.02</v>
      </c>
      <c r="V338">
        <v>19.329999999999998</v>
      </c>
      <c r="W338">
        <v>19.21</v>
      </c>
    </row>
    <row r="339" spans="1:23" x14ac:dyDescent="0.35">
      <c r="A339" s="2" t="s">
        <v>293</v>
      </c>
      <c r="B339">
        <v>6.08</v>
      </c>
      <c r="C339">
        <v>6.56</v>
      </c>
      <c r="D339">
        <v>6.6</v>
      </c>
      <c r="E339">
        <v>7.62</v>
      </c>
      <c r="F339">
        <v>8.59</v>
      </c>
      <c r="G339">
        <v>9.4700000000000006</v>
      </c>
      <c r="H339">
        <v>9.5299999999999994</v>
      </c>
      <c r="I339">
        <v>9.59</v>
      </c>
      <c r="J339">
        <v>8.3000000000000007</v>
      </c>
      <c r="K339">
        <v>7.88</v>
      </c>
      <c r="L339">
        <v>8.09</v>
      </c>
      <c r="M339">
        <v>5.56</v>
      </c>
      <c r="N339">
        <v>4.28</v>
      </c>
      <c r="O339">
        <v>4.46</v>
      </c>
      <c r="P339">
        <v>5.45</v>
      </c>
      <c r="Q339">
        <v>6.28</v>
      </c>
      <c r="R339">
        <v>7.64</v>
      </c>
      <c r="S339">
        <v>6.93</v>
      </c>
      <c r="T339">
        <v>7.23</v>
      </c>
      <c r="U339">
        <v>8.77</v>
      </c>
      <c r="V339">
        <v>8.69</v>
      </c>
      <c r="W339">
        <v>8.1999999999999993</v>
      </c>
    </row>
    <row r="340" spans="1:23" x14ac:dyDescent="0.35">
      <c r="A340" s="2" t="s">
        <v>294</v>
      </c>
      <c r="B340">
        <v>1.22</v>
      </c>
      <c r="C340">
        <v>1.21</v>
      </c>
      <c r="D340">
        <v>1.04</v>
      </c>
      <c r="E340">
        <v>1.1000000000000001</v>
      </c>
      <c r="F340">
        <v>0.93</v>
      </c>
      <c r="G340">
        <v>1.1100000000000001</v>
      </c>
      <c r="H340">
        <v>1.1200000000000001</v>
      </c>
      <c r="I340">
        <v>1.17</v>
      </c>
      <c r="J340">
        <v>1.1599999999999999</v>
      </c>
      <c r="K340">
        <v>1.0900000000000001</v>
      </c>
      <c r="L340">
        <v>1.06</v>
      </c>
      <c r="M340">
        <v>1.1499999999999999</v>
      </c>
      <c r="N340">
        <v>1.23</v>
      </c>
      <c r="O340">
        <v>1.1399999999999999</v>
      </c>
      <c r="P340">
        <v>1.07</v>
      </c>
      <c r="Q340">
        <v>0.84</v>
      </c>
      <c r="R340">
        <v>0.87</v>
      </c>
      <c r="S340">
        <v>1.03</v>
      </c>
      <c r="T340">
        <v>1.39</v>
      </c>
      <c r="U340">
        <v>1.04</v>
      </c>
      <c r="V340">
        <v>1</v>
      </c>
      <c r="W340">
        <v>1.1299999999999999</v>
      </c>
    </row>
    <row r="341" spans="1:23" x14ac:dyDescent="0.35">
      <c r="A341" s="2" t="s">
        <v>295</v>
      </c>
      <c r="B341">
        <v>0.66</v>
      </c>
      <c r="C341">
        <v>0.71</v>
      </c>
      <c r="D341">
        <v>0.66</v>
      </c>
      <c r="E341">
        <v>0.55000000000000004</v>
      </c>
      <c r="F341">
        <v>0.51</v>
      </c>
      <c r="G341">
        <v>0.51</v>
      </c>
      <c r="H341">
        <v>0.65</v>
      </c>
      <c r="I341">
        <v>0.74</v>
      </c>
      <c r="J341">
        <v>0.74</v>
      </c>
      <c r="K341">
        <v>0.73</v>
      </c>
      <c r="L341">
        <v>0.68</v>
      </c>
      <c r="M341">
        <v>0.59</v>
      </c>
      <c r="N341">
        <v>0.52</v>
      </c>
      <c r="O341">
        <v>0.55000000000000004</v>
      </c>
      <c r="P341">
        <v>0.59</v>
      </c>
      <c r="Q341">
        <v>0.54</v>
      </c>
      <c r="R341">
        <v>0.46</v>
      </c>
      <c r="S341">
        <v>0.47</v>
      </c>
      <c r="T341">
        <v>0.59</v>
      </c>
      <c r="U341">
        <v>0.59</v>
      </c>
      <c r="V341">
        <v>0.54</v>
      </c>
      <c r="W341">
        <v>0.56000000000000005</v>
      </c>
    </row>
    <row r="342" spans="1:23" x14ac:dyDescent="0.35">
      <c r="A342" s="2" t="s">
        <v>296</v>
      </c>
      <c r="B342">
        <v>2.95</v>
      </c>
      <c r="C342">
        <v>2.97</v>
      </c>
      <c r="D342">
        <v>3.25</v>
      </c>
      <c r="E342">
        <v>3</v>
      </c>
      <c r="F342">
        <v>2.39</v>
      </c>
      <c r="G342">
        <v>2.2200000000000002</v>
      </c>
      <c r="H342">
        <v>2.36</v>
      </c>
      <c r="I342">
        <v>2.87</v>
      </c>
      <c r="J342">
        <v>2.94</v>
      </c>
      <c r="K342">
        <v>3.04</v>
      </c>
      <c r="L342">
        <v>3.19</v>
      </c>
      <c r="M342">
        <v>3.1</v>
      </c>
      <c r="N342">
        <v>3.01</v>
      </c>
      <c r="O342">
        <v>2.97</v>
      </c>
      <c r="P342">
        <v>3.01</v>
      </c>
      <c r="Q342">
        <v>2.84</v>
      </c>
      <c r="R342">
        <v>2.52</v>
      </c>
      <c r="S342">
        <v>2.39</v>
      </c>
      <c r="T342">
        <v>2.19</v>
      </c>
      <c r="U342">
        <v>2.2000000000000002</v>
      </c>
      <c r="V342">
        <v>2.25</v>
      </c>
      <c r="W342">
        <v>2.38</v>
      </c>
    </row>
    <row r="343" spans="1:23" x14ac:dyDescent="0.35">
      <c r="A343" s="2" t="s">
        <v>297</v>
      </c>
      <c r="B343">
        <v>664.94</v>
      </c>
      <c r="C343">
        <v>666.63</v>
      </c>
      <c r="D343">
        <v>682.69</v>
      </c>
      <c r="E343">
        <v>689.87</v>
      </c>
      <c r="F343">
        <v>692.4</v>
      </c>
      <c r="G343">
        <v>693.67</v>
      </c>
      <c r="H343">
        <v>694.51</v>
      </c>
      <c r="I343">
        <v>699.16</v>
      </c>
      <c r="J343">
        <v>699.16</v>
      </c>
      <c r="K343">
        <v>704.23</v>
      </c>
      <c r="L343">
        <v>706.77</v>
      </c>
      <c r="M343">
        <v>717.75</v>
      </c>
      <c r="N343">
        <v>730.42</v>
      </c>
      <c r="O343">
        <v>735.49</v>
      </c>
      <c r="P343">
        <v>740.56</v>
      </c>
      <c r="Q343">
        <v>746.48</v>
      </c>
      <c r="R343">
        <v>749.01</v>
      </c>
      <c r="S343">
        <v>753.24</v>
      </c>
      <c r="T343">
        <v>751.55</v>
      </c>
      <c r="U343">
        <v>758.73</v>
      </c>
      <c r="V343">
        <v>760.42</v>
      </c>
      <c r="W343">
        <v>761.26</v>
      </c>
    </row>
    <row r="344" spans="1:23" x14ac:dyDescent="0.35">
      <c r="A344" s="2" t="s">
        <v>298</v>
      </c>
      <c r="B344">
        <v>59.48</v>
      </c>
      <c r="C344">
        <v>61.95</v>
      </c>
      <c r="D344">
        <v>60.94</v>
      </c>
      <c r="E344">
        <v>65.16</v>
      </c>
      <c r="F344">
        <v>72.33</v>
      </c>
      <c r="G344">
        <v>72.67</v>
      </c>
      <c r="H344">
        <v>71.180000000000007</v>
      </c>
      <c r="I344">
        <v>71.290000000000006</v>
      </c>
      <c r="J344">
        <v>66.06</v>
      </c>
      <c r="K344">
        <v>60.23</v>
      </c>
      <c r="L344">
        <v>61.16</v>
      </c>
      <c r="M344">
        <v>60.27</v>
      </c>
      <c r="N344">
        <v>64.08</v>
      </c>
      <c r="O344">
        <v>67.290000000000006</v>
      </c>
      <c r="P344">
        <v>66.95</v>
      </c>
      <c r="Q344">
        <v>68.52</v>
      </c>
      <c r="R344">
        <v>73.12</v>
      </c>
      <c r="S344">
        <v>74.540000000000006</v>
      </c>
      <c r="T344">
        <v>72.150000000000006</v>
      </c>
      <c r="U344">
        <v>68.260000000000005</v>
      </c>
      <c r="V344">
        <v>63.33</v>
      </c>
      <c r="W344">
        <v>61.39</v>
      </c>
    </row>
    <row r="345" spans="1:23" x14ac:dyDescent="0.35">
      <c r="A345" s="2" t="s">
        <v>299</v>
      </c>
      <c r="B345">
        <v>19.059999999999999</v>
      </c>
      <c r="C345">
        <v>19.07</v>
      </c>
      <c r="D345">
        <v>18.98</v>
      </c>
      <c r="E345">
        <v>18.100000000000001</v>
      </c>
      <c r="F345">
        <v>17.95</v>
      </c>
      <c r="G345">
        <v>17.739999999999998</v>
      </c>
      <c r="H345">
        <v>17.68</v>
      </c>
      <c r="I345">
        <v>17.27</v>
      </c>
      <c r="J345">
        <v>17.23</v>
      </c>
      <c r="K345">
        <v>16.55</v>
      </c>
      <c r="L345">
        <v>17.09</v>
      </c>
      <c r="M345">
        <v>17.350000000000001</v>
      </c>
      <c r="N345">
        <v>17.48</v>
      </c>
      <c r="O345">
        <v>17.12</v>
      </c>
      <c r="P345">
        <v>17.239999999999998</v>
      </c>
      <c r="Q345">
        <v>16.87</v>
      </c>
      <c r="R345">
        <v>16.510000000000002</v>
      </c>
      <c r="S345">
        <v>16.64</v>
      </c>
      <c r="T345">
        <v>19.059999999999999</v>
      </c>
      <c r="U345">
        <v>23.48</v>
      </c>
      <c r="V345">
        <v>24.45</v>
      </c>
      <c r="W345">
        <v>24.56</v>
      </c>
    </row>
    <row r="346" spans="1:23" x14ac:dyDescent="0.35">
      <c r="A346" s="2" t="s">
        <v>300</v>
      </c>
      <c r="B346">
        <v>1.45</v>
      </c>
      <c r="C346">
        <v>1.45</v>
      </c>
      <c r="D346">
        <v>1.44</v>
      </c>
      <c r="E346">
        <v>1.46</v>
      </c>
      <c r="F346">
        <v>1.4</v>
      </c>
      <c r="G346">
        <v>1.32</v>
      </c>
      <c r="H346">
        <v>1.32</v>
      </c>
      <c r="I346">
        <v>1.4</v>
      </c>
      <c r="J346">
        <v>1.38</v>
      </c>
      <c r="K346">
        <v>1.37</v>
      </c>
      <c r="L346">
        <v>1.31</v>
      </c>
      <c r="M346">
        <v>1.29</v>
      </c>
      <c r="N346">
        <v>1.32</v>
      </c>
      <c r="O346">
        <v>1.6</v>
      </c>
      <c r="P346">
        <v>1.86</v>
      </c>
      <c r="Q346">
        <v>1.89</v>
      </c>
      <c r="R346">
        <v>1.87</v>
      </c>
      <c r="S346">
        <v>1.75</v>
      </c>
      <c r="T346">
        <v>1.86</v>
      </c>
      <c r="U346">
        <v>2.58</v>
      </c>
      <c r="V346">
        <v>2.74</v>
      </c>
      <c r="W346">
        <v>2.56</v>
      </c>
    </row>
    <row r="347" spans="1:23" x14ac:dyDescent="0.35">
      <c r="A347" s="2" t="s">
        <v>301</v>
      </c>
      <c r="B347">
        <v>8.17</v>
      </c>
      <c r="C347">
        <v>7.56</v>
      </c>
      <c r="D347">
        <v>7.01</v>
      </c>
      <c r="E347">
        <v>7.01</v>
      </c>
      <c r="F347">
        <v>6.94</v>
      </c>
      <c r="G347">
        <v>7.09</v>
      </c>
      <c r="H347">
        <v>7.48</v>
      </c>
      <c r="I347">
        <v>7.37</v>
      </c>
      <c r="J347">
        <v>7.27</v>
      </c>
      <c r="K347">
        <v>7.28</v>
      </c>
      <c r="L347">
        <v>7.46</v>
      </c>
      <c r="M347">
        <v>7.9</v>
      </c>
      <c r="N347">
        <v>8.0500000000000007</v>
      </c>
      <c r="O347">
        <v>8.18</v>
      </c>
      <c r="P347">
        <v>8.4600000000000009</v>
      </c>
      <c r="Q347">
        <v>8.73</v>
      </c>
      <c r="R347">
        <v>9.34</v>
      </c>
      <c r="S347">
        <v>10.28</v>
      </c>
      <c r="T347">
        <v>11.13</v>
      </c>
      <c r="U347">
        <v>12.43</v>
      </c>
      <c r="V347">
        <v>13.74</v>
      </c>
      <c r="W347">
        <v>13.79</v>
      </c>
    </row>
    <row r="348" spans="1:23" x14ac:dyDescent="0.35">
      <c r="A348" s="2" t="s">
        <v>302</v>
      </c>
      <c r="B348">
        <v>7.14</v>
      </c>
      <c r="C348">
        <v>7.75</v>
      </c>
      <c r="D348">
        <v>8.1</v>
      </c>
      <c r="E348">
        <v>8.6199999999999992</v>
      </c>
      <c r="F348">
        <v>9.6300000000000008</v>
      </c>
      <c r="G348">
        <v>9.3699999999999992</v>
      </c>
      <c r="H348">
        <v>9.51</v>
      </c>
      <c r="I348">
        <v>9.86</v>
      </c>
      <c r="J348">
        <v>9.94</v>
      </c>
      <c r="K348">
        <v>10.17</v>
      </c>
      <c r="L348">
        <v>10.19</v>
      </c>
      <c r="M348">
        <v>11.49</v>
      </c>
      <c r="N348">
        <v>12.93</v>
      </c>
      <c r="O348">
        <v>12.63</v>
      </c>
      <c r="P348">
        <v>12.97</v>
      </c>
      <c r="Q348">
        <v>14.53</v>
      </c>
      <c r="R348">
        <v>16.87</v>
      </c>
      <c r="S348">
        <v>18.329999999999998</v>
      </c>
      <c r="T348">
        <v>25.36</v>
      </c>
      <c r="U348">
        <v>26.71</v>
      </c>
      <c r="V348">
        <v>26.72</v>
      </c>
      <c r="W348">
        <v>25.96</v>
      </c>
    </row>
    <row r="349" spans="1:23" x14ac:dyDescent="0.35">
      <c r="A349" s="2" t="s">
        <v>303</v>
      </c>
      <c r="B349">
        <v>15.86</v>
      </c>
      <c r="C349">
        <v>15.03</v>
      </c>
      <c r="D349">
        <v>14.07</v>
      </c>
      <c r="E349">
        <v>17.309999999999999</v>
      </c>
      <c r="F349">
        <v>16.309999999999999</v>
      </c>
      <c r="G349">
        <v>16.77</v>
      </c>
      <c r="H349">
        <v>16.899999999999999</v>
      </c>
      <c r="I349">
        <v>17.7</v>
      </c>
      <c r="J349">
        <v>18.14</v>
      </c>
      <c r="K349">
        <v>17.71</v>
      </c>
      <c r="L349">
        <v>18.46</v>
      </c>
      <c r="M349">
        <v>17.260000000000002</v>
      </c>
      <c r="N349">
        <v>16.57</v>
      </c>
      <c r="O349">
        <v>16.55</v>
      </c>
      <c r="P349">
        <v>16.29</v>
      </c>
      <c r="Q349">
        <v>18.420000000000002</v>
      </c>
      <c r="R349">
        <v>17.579999999999998</v>
      </c>
      <c r="S349">
        <v>17.43</v>
      </c>
      <c r="T349">
        <v>17.079999999999998</v>
      </c>
      <c r="U349">
        <v>16.309999999999999</v>
      </c>
      <c r="V349">
        <v>16.309999999999999</v>
      </c>
      <c r="W349">
        <v>16.68</v>
      </c>
    </row>
    <row r="350" spans="1:23" x14ac:dyDescent="0.35">
      <c r="A350" s="2" t="s">
        <v>304</v>
      </c>
      <c r="B350">
        <v>14.36</v>
      </c>
      <c r="C350">
        <v>14.75</v>
      </c>
      <c r="D350">
        <v>15.14</v>
      </c>
      <c r="E350">
        <v>15.87</v>
      </c>
      <c r="F350">
        <v>16.190000000000001</v>
      </c>
      <c r="G350">
        <v>16.440000000000001</v>
      </c>
      <c r="H350">
        <v>16.66</v>
      </c>
      <c r="I350">
        <v>16.600000000000001</v>
      </c>
      <c r="J350">
        <v>16.72</v>
      </c>
      <c r="K350">
        <v>16.3</v>
      </c>
      <c r="L350">
        <v>16.57</v>
      </c>
      <c r="M350">
        <v>16.440000000000001</v>
      </c>
      <c r="N350">
        <v>15.32</v>
      </c>
      <c r="O350">
        <v>15.28</v>
      </c>
      <c r="P350">
        <v>15.54</v>
      </c>
      <c r="Q350">
        <v>15.54</v>
      </c>
      <c r="R350">
        <v>15.54</v>
      </c>
      <c r="S350">
        <v>16.62</v>
      </c>
      <c r="T350">
        <v>16.48</v>
      </c>
      <c r="U350">
        <v>15.98</v>
      </c>
      <c r="V350">
        <v>16.47</v>
      </c>
      <c r="W350">
        <v>15.89</v>
      </c>
    </row>
    <row r="351" spans="1:23" x14ac:dyDescent="0.35">
      <c r="A351" s="2" t="s">
        <v>305</v>
      </c>
      <c r="B351">
        <v>0.43</v>
      </c>
      <c r="C351">
        <v>0.44</v>
      </c>
      <c r="D351">
        <v>0.43</v>
      </c>
      <c r="E351">
        <v>0.45</v>
      </c>
      <c r="F351">
        <v>0.47</v>
      </c>
      <c r="G351">
        <v>0.48</v>
      </c>
      <c r="H351">
        <v>0.48</v>
      </c>
      <c r="I351">
        <v>0.48</v>
      </c>
      <c r="J351">
        <v>0.49</v>
      </c>
      <c r="K351">
        <v>0.49</v>
      </c>
      <c r="L351">
        <v>0.49</v>
      </c>
      <c r="M351">
        <v>0.49</v>
      </c>
      <c r="N351">
        <v>0.46</v>
      </c>
      <c r="O351">
        <v>0.44</v>
      </c>
      <c r="P351">
        <v>0.4</v>
      </c>
      <c r="Q351">
        <v>0.36</v>
      </c>
      <c r="R351">
        <v>0.36</v>
      </c>
      <c r="S351">
        <v>0.36</v>
      </c>
      <c r="T351">
        <v>0.37</v>
      </c>
      <c r="U351">
        <v>0.38</v>
      </c>
      <c r="V351">
        <v>0.39</v>
      </c>
      <c r="W351">
        <v>0.4</v>
      </c>
    </row>
    <row r="352" spans="1:23" x14ac:dyDescent="0.35">
      <c r="A352" s="2" t="s">
        <v>306</v>
      </c>
      <c r="B352">
        <v>39.97</v>
      </c>
      <c r="C352">
        <v>39.590000000000003</v>
      </c>
      <c r="D352">
        <v>40.4</v>
      </c>
      <c r="E352">
        <v>40.9</v>
      </c>
      <c r="F352">
        <v>41.64</v>
      </c>
      <c r="G352">
        <v>40.85</v>
      </c>
      <c r="H352">
        <v>41.09</v>
      </c>
      <c r="I352">
        <v>41.88</v>
      </c>
      <c r="J352">
        <v>41.85</v>
      </c>
      <c r="K352">
        <v>41.85</v>
      </c>
      <c r="L352">
        <v>42.19</v>
      </c>
      <c r="M352">
        <v>43.38</v>
      </c>
      <c r="N352">
        <v>45.32</v>
      </c>
      <c r="O352">
        <v>47.37</v>
      </c>
      <c r="P352">
        <v>47.16</v>
      </c>
      <c r="Q352">
        <v>47.25</v>
      </c>
      <c r="R352">
        <v>47.02</v>
      </c>
      <c r="S352">
        <v>47.8</v>
      </c>
      <c r="T352">
        <v>48.71</v>
      </c>
      <c r="U352">
        <v>48.5</v>
      </c>
      <c r="V352">
        <v>48.02</v>
      </c>
      <c r="W352">
        <v>48.04</v>
      </c>
    </row>
    <row r="353" spans="1:23" x14ac:dyDescent="0.35">
      <c r="A353" s="2" t="s">
        <v>307</v>
      </c>
      <c r="B353">
        <v>0.51</v>
      </c>
      <c r="C353">
        <v>0.52</v>
      </c>
      <c r="D353">
        <v>0.52</v>
      </c>
      <c r="E353">
        <v>0.48</v>
      </c>
      <c r="F353">
        <v>0.47</v>
      </c>
      <c r="G353">
        <v>0.47</v>
      </c>
      <c r="H353">
        <v>0.48</v>
      </c>
      <c r="I353">
        <v>0.48</v>
      </c>
      <c r="J353">
        <v>0.48</v>
      </c>
      <c r="K353">
        <v>0.49</v>
      </c>
      <c r="L353">
        <v>0.49</v>
      </c>
      <c r="M353">
        <v>0.5</v>
      </c>
      <c r="N353">
        <v>0.5</v>
      </c>
      <c r="O353">
        <v>0.5</v>
      </c>
      <c r="P353">
        <v>0.53</v>
      </c>
      <c r="Q353">
        <v>0.55000000000000004</v>
      </c>
      <c r="R353">
        <v>0.55000000000000004</v>
      </c>
      <c r="S353">
        <v>0.56000000000000005</v>
      </c>
      <c r="T353">
        <v>0.56000000000000005</v>
      </c>
      <c r="U353">
        <v>0.56999999999999995</v>
      </c>
      <c r="V353">
        <v>0.6</v>
      </c>
      <c r="W353">
        <v>0.59</v>
      </c>
    </row>
    <row r="354" spans="1:23" x14ac:dyDescent="0.35">
      <c r="A354" s="2" t="s">
        <v>308</v>
      </c>
      <c r="B354">
        <v>2.76</v>
      </c>
      <c r="C354">
        <v>2.97</v>
      </c>
      <c r="D354">
        <v>3.3</v>
      </c>
      <c r="E354">
        <v>3.24</v>
      </c>
      <c r="F354">
        <v>3.1</v>
      </c>
      <c r="G354">
        <v>3.06</v>
      </c>
      <c r="H354">
        <v>2.93</v>
      </c>
      <c r="I354">
        <v>3</v>
      </c>
      <c r="J354">
        <v>2.93</v>
      </c>
      <c r="K354">
        <v>2.71</v>
      </c>
      <c r="L354">
        <v>2.79</v>
      </c>
      <c r="M354">
        <v>2.69</v>
      </c>
      <c r="N354">
        <v>2.67</v>
      </c>
      <c r="O354">
        <v>2.7</v>
      </c>
      <c r="P354">
        <v>2.4900000000000002</v>
      </c>
      <c r="Q354">
        <v>2.44</v>
      </c>
      <c r="R354">
        <v>2.31</v>
      </c>
      <c r="S354">
        <v>2.23</v>
      </c>
      <c r="T354">
        <v>2.2999999999999998</v>
      </c>
      <c r="U354">
        <v>2.48</v>
      </c>
      <c r="V354">
        <v>2.48</v>
      </c>
      <c r="W354">
        <v>2.36</v>
      </c>
    </row>
    <row r="355" spans="1:23" x14ac:dyDescent="0.35">
      <c r="A355" s="2" t="s">
        <v>309</v>
      </c>
      <c r="B355">
        <v>3.05</v>
      </c>
      <c r="C355">
        <v>3.09</v>
      </c>
      <c r="D355">
        <v>3.13</v>
      </c>
      <c r="E355">
        <v>3.11</v>
      </c>
      <c r="F355">
        <v>3.11</v>
      </c>
      <c r="G355">
        <v>3.13</v>
      </c>
      <c r="H355">
        <v>3.16</v>
      </c>
      <c r="I355">
        <v>3.11</v>
      </c>
      <c r="J355">
        <v>3</v>
      </c>
      <c r="K355">
        <v>3.01</v>
      </c>
      <c r="L355">
        <v>3.07</v>
      </c>
      <c r="M355">
        <v>3.08</v>
      </c>
      <c r="N355">
        <v>3.01</v>
      </c>
      <c r="O355">
        <v>2.98</v>
      </c>
      <c r="P355">
        <v>2.97</v>
      </c>
      <c r="Q355">
        <v>2.95</v>
      </c>
      <c r="R355">
        <v>2.96</v>
      </c>
      <c r="S355">
        <v>2.97</v>
      </c>
      <c r="T355">
        <v>3.01</v>
      </c>
      <c r="U355">
        <v>3.04</v>
      </c>
      <c r="V355">
        <v>3.09</v>
      </c>
      <c r="W355">
        <v>3.11</v>
      </c>
    </row>
    <row r="356" spans="1:23" x14ac:dyDescent="0.35">
      <c r="A356" s="2" t="s">
        <v>310</v>
      </c>
      <c r="B356">
        <v>2.19</v>
      </c>
      <c r="C356">
        <v>2.19</v>
      </c>
      <c r="D356">
        <v>2.19</v>
      </c>
      <c r="E356">
        <v>2.19</v>
      </c>
      <c r="F356">
        <v>2.17</v>
      </c>
      <c r="G356">
        <v>2.17</v>
      </c>
      <c r="H356">
        <v>2.1800000000000002</v>
      </c>
      <c r="I356">
        <v>2.19</v>
      </c>
      <c r="J356">
        <v>2.1800000000000002</v>
      </c>
      <c r="K356">
        <v>2.21</v>
      </c>
      <c r="L356">
        <v>2.2200000000000002</v>
      </c>
      <c r="M356">
        <v>2.2000000000000002</v>
      </c>
      <c r="N356">
        <v>2.2000000000000002</v>
      </c>
      <c r="O356">
        <v>2.1800000000000002</v>
      </c>
      <c r="P356">
        <v>2.19</v>
      </c>
      <c r="Q356">
        <v>2.19</v>
      </c>
      <c r="R356">
        <v>2.14</v>
      </c>
      <c r="S356">
        <v>2.12</v>
      </c>
      <c r="T356">
        <v>2.16</v>
      </c>
      <c r="U356">
        <v>2.19</v>
      </c>
      <c r="V356">
        <v>2.2400000000000002</v>
      </c>
      <c r="W356">
        <v>2.2599999999999998</v>
      </c>
    </row>
    <row r="357" spans="1:23" x14ac:dyDescent="0.35">
      <c r="A357" s="2" t="s">
        <v>311</v>
      </c>
      <c r="B357">
        <v>28.67</v>
      </c>
      <c r="C357">
        <v>23.99</v>
      </c>
      <c r="D357">
        <v>20.66</v>
      </c>
      <c r="E357">
        <v>14.17</v>
      </c>
      <c r="F357">
        <v>10.75</v>
      </c>
      <c r="G357">
        <v>11.49</v>
      </c>
      <c r="H357">
        <v>13.4</v>
      </c>
      <c r="I357">
        <v>14.62</v>
      </c>
      <c r="J357">
        <v>13.64</v>
      </c>
      <c r="K357">
        <v>17.82</v>
      </c>
      <c r="L357">
        <v>18.43</v>
      </c>
      <c r="M357">
        <v>25.23</v>
      </c>
      <c r="N357">
        <v>27.48</v>
      </c>
      <c r="O357">
        <v>23.94</v>
      </c>
      <c r="P357">
        <v>20.28</v>
      </c>
      <c r="Q357">
        <v>15.8</v>
      </c>
      <c r="R357">
        <v>14.38</v>
      </c>
      <c r="S357">
        <v>10.88</v>
      </c>
      <c r="T357">
        <v>13.14</v>
      </c>
      <c r="U357">
        <v>15.56</v>
      </c>
      <c r="V357">
        <v>17.63</v>
      </c>
      <c r="W357">
        <v>21.34</v>
      </c>
    </row>
    <row r="358" spans="1:23" x14ac:dyDescent="0.35">
      <c r="A358" s="2" t="s">
        <v>312</v>
      </c>
      <c r="B358">
        <v>3.33</v>
      </c>
      <c r="C358">
        <v>3.19</v>
      </c>
      <c r="D358">
        <v>3.44</v>
      </c>
      <c r="E358">
        <v>3.71</v>
      </c>
      <c r="F358">
        <v>3.56</v>
      </c>
      <c r="G358">
        <v>3.5</v>
      </c>
      <c r="H358">
        <v>3.19</v>
      </c>
      <c r="I358">
        <v>3.08</v>
      </c>
      <c r="J358">
        <v>3.11</v>
      </c>
      <c r="K358">
        <v>3.05</v>
      </c>
      <c r="L358">
        <v>3.11</v>
      </c>
      <c r="M358">
        <v>3.12</v>
      </c>
      <c r="N358">
        <v>2.86</v>
      </c>
      <c r="O358">
        <v>2.88</v>
      </c>
      <c r="P358">
        <v>2.93</v>
      </c>
      <c r="Q358">
        <v>3.08</v>
      </c>
      <c r="R358">
        <v>2.77</v>
      </c>
      <c r="S358">
        <v>2.89</v>
      </c>
      <c r="T358">
        <v>2.96</v>
      </c>
      <c r="U358">
        <v>3.19</v>
      </c>
      <c r="V358">
        <v>4.01</v>
      </c>
      <c r="W358">
        <v>4.47</v>
      </c>
    </row>
    <row r="359" spans="1:23" x14ac:dyDescent="0.35">
      <c r="A359" s="2" t="s">
        <v>313</v>
      </c>
      <c r="B359">
        <v>13.29</v>
      </c>
      <c r="C359">
        <v>13.29</v>
      </c>
      <c r="D359">
        <v>13.55</v>
      </c>
      <c r="E359">
        <v>13</v>
      </c>
      <c r="F359">
        <v>13.29</v>
      </c>
      <c r="G359">
        <v>13.29</v>
      </c>
      <c r="H359">
        <v>13.29</v>
      </c>
      <c r="I359">
        <v>13.77</v>
      </c>
      <c r="J359">
        <v>13.77</v>
      </c>
      <c r="K359">
        <v>13.74</v>
      </c>
      <c r="L359">
        <v>13.55</v>
      </c>
      <c r="M359">
        <v>13.55</v>
      </c>
      <c r="N359">
        <v>13.94</v>
      </c>
      <c r="O359">
        <v>13.53</v>
      </c>
      <c r="P359">
        <v>13.36</v>
      </c>
      <c r="Q359">
        <v>14</v>
      </c>
      <c r="R359">
        <v>13.91</v>
      </c>
      <c r="S359">
        <v>13.48</v>
      </c>
      <c r="T359">
        <v>13.92</v>
      </c>
      <c r="U359">
        <v>14.12</v>
      </c>
      <c r="V359">
        <v>14.42</v>
      </c>
      <c r="W359">
        <v>14.16</v>
      </c>
    </row>
    <row r="360" spans="1:23" x14ac:dyDescent="0.35">
      <c r="A360" s="2" t="s">
        <v>314</v>
      </c>
      <c r="B360">
        <v>203.72</v>
      </c>
      <c r="C360">
        <v>219.53</v>
      </c>
      <c r="D360">
        <v>275.31</v>
      </c>
      <c r="E360">
        <v>250.48</v>
      </c>
      <c r="F360">
        <v>277.69</v>
      </c>
      <c r="G360">
        <v>295.04000000000002</v>
      </c>
      <c r="H360">
        <v>275.64999999999998</v>
      </c>
      <c r="I360">
        <v>248.61</v>
      </c>
      <c r="J360">
        <v>227.7</v>
      </c>
      <c r="K360">
        <v>257.8</v>
      </c>
      <c r="L360">
        <v>254.05</v>
      </c>
      <c r="M360">
        <v>215.62</v>
      </c>
      <c r="N360">
        <v>213.92</v>
      </c>
      <c r="O360">
        <v>197.09</v>
      </c>
      <c r="P360">
        <v>210.52</v>
      </c>
      <c r="Q360">
        <v>226.85</v>
      </c>
      <c r="R360">
        <v>202.7</v>
      </c>
      <c r="S360">
        <v>198.62</v>
      </c>
      <c r="T360">
        <v>212.73</v>
      </c>
      <c r="U360">
        <v>226</v>
      </c>
      <c r="V360">
        <v>252.35</v>
      </c>
      <c r="W360">
        <v>245.04</v>
      </c>
    </row>
    <row r="361" spans="1:23" x14ac:dyDescent="0.35">
      <c r="A361" s="2" t="s">
        <v>315</v>
      </c>
      <c r="B361">
        <v>76.260000000000005</v>
      </c>
      <c r="C361">
        <v>73.36</v>
      </c>
      <c r="D361">
        <v>77.19</v>
      </c>
      <c r="E361">
        <v>86.88</v>
      </c>
      <c r="F361">
        <v>89.84</v>
      </c>
      <c r="G361">
        <v>85.14</v>
      </c>
      <c r="H361">
        <v>78.53</v>
      </c>
      <c r="I361">
        <v>76.38</v>
      </c>
      <c r="J361">
        <v>72.260000000000005</v>
      </c>
      <c r="K361">
        <v>70.63</v>
      </c>
      <c r="L361">
        <v>66.739999999999995</v>
      </c>
      <c r="M361">
        <v>67.73</v>
      </c>
      <c r="N361">
        <v>69.94</v>
      </c>
      <c r="O361">
        <v>68.14</v>
      </c>
      <c r="P361">
        <v>79.75</v>
      </c>
      <c r="Q361">
        <v>77.77</v>
      </c>
      <c r="R361">
        <v>67.959999999999994</v>
      </c>
      <c r="S361">
        <v>66.16</v>
      </c>
      <c r="T361">
        <v>62.28</v>
      </c>
      <c r="U361">
        <v>58.04</v>
      </c>
      <c r="V361">
        <v>59.9</v>
      </c>
      <c r="W361">
        <v>67.790000000000006</v>
      </c>
    </row>
    <row r="362" spans="1:23" x14ac:dyDescent="0.35">
      <c r="A362" s="2" t="s">
        <v>316</v>
      </c>
      <c r="B362">
        <v>40.46</v>
      </c>
      <c r="C362">
        <v>46.35</v>
      </c>
      <c r="D362">
        <v>53.61</v>
      </c>
      <c r="E362">
        <v>67.44</v>
      </c>
      <c r="F362">
        <v>69.8</v>
      </c>
      <c r="G362">
        <v>74.09</v>
      </c>
      <c r="H362">
        <v>86.98</v>
      </c>
      <c r="I362">
        <v>75.069999999999993</v>
      </c>
      <c r="J362">
        <v>71.53</v>
      </c>
      <c r="K362">
        <v>67.95</v>
      </c>
      <c r="L362">
        <v>70.430000000000007</v>
      </c>
      <c r="M362">
        <v>69.900000000000006</v>
      </c>
      <c r="N362">
        <v>62.6</v>
      </c>
      <c r="O362">
        <v>64.58</v>
      </c>
      <c r="P362">
        <v>63.34</v>
      </c>
      <c r="Q362">
        <v>56.53</v>
      </c>
      <c r="R362">
        <v>54.34</v>
      </c>
      <c r="S362">
        <v>49.66</v>
      </c>
      <c r="T362">
        <v>49.82</v>
      </c>
      <c r="U362">
        <v>54.54</v>
      </c>
      <c r="V362">
        <v>64.45</v>
      </c>
      <c r="W362">
        <v>68.61</v>
      </c>
    </row>
    <row r="363" spans="1:23" x14ac:dyDescent="0.35">
      <c r="A363" s="2" t="s">
        <v>317</v>
      </c>
      <c r="B363">
        <v>90.5</v>
      </c>
      <c r="C363">
        <v>97.48</v>
      </c>
      <c r="D363">
        <v>116.13</v>
      </c>
      <c r="E363">
        <v>111.36</v>
      </c>
      <c r="F363">
        <v>108.57</v>
      </c>
      <c r="G363">
        <v>105.85</v>
      </c>
      <c r="H363">
        <v>101.96</v>
      </c>
      <c r="I363">
        <v>98.28</v>
      </c>
      <c r="J363">
        <v>91.09</v>
      </c>
      <c r="K363">
        <v>93.07</v>
      </c>
      <c r="L363">
        <v>96.52</v>
      </c>
      <c r="M363">
        <v>93.51</v>
      </c>
      <c r="N363">
        <v>88</v>
      </c>
      <c r="O363">
        <v>103.21</v>
      </c>
      <c r="P363">
        <v>106.07</v>
      </c>
      <c r="Q363">
        <v>95.35</v>
      </c>
      <c r="R363">
        <v>91.82</v>
      </c>
      <c r="S363">
        <v>85.58</v>
      </c>
      <c r="T363">
        <v>79.989999999999995</v>
      </c>
      <c r="U363">
        <v>91.67</v>
      </c>
      <c r="V363">
        <v>97.55</v>
      </c>
      <c r="W363">
        <v>100.05</v>
      </c>
    </row>
    <row r="364" spans="1:23" x14ac:dyDescent="0.35">
      <c r="A364" s="2" t="s">
        <v>318</v>
      </c>
      <c r="B364">
        <v>425.64</v>
      </c>
      <c r="C364">
        <v>414.63</v>
      </c>
      <c r="D364">
        <v>384.43</v>
      </c>
      <c r="E364">
        <v>384.43</v>
      </c>
      <c r="F364">
        <v>397.64</v>
      </c>
      <c r="G364">
        <v>420.6</v>
      </c>
      <c r="H364">
        <v>420.92</v>
      </c>
      <c r="I364">
        <v>429.41</v>
      </c>
      <c r="J364">
        <v>442.31</v>
      </c>
      <c r="K364">
        <v>481.01</v>
      </c>
      <c r="L364">
        <v>496.73</v>
      </c>
      <c r="M364">
        <v>496.11</v>
      </c>
      <c r="N364">
        <v>492.96</v>
      </c>
      <c r="O364">
        <v>479.43</v>
      </c>
      <c r="P364">
        <v>466.85</v>
      </c>
      <c r="Q364">
        <v>461.82</v>
      </c>
      <c r="R364">
        <v>435.39</v>
      </c>
      <c r="S364">
        <v>425.32</v>
      </c>
      <c r="T364">
        <v>422.18</v>
      </c>
      <c r="U364">
        <v>425.01</v>
      </c>
      <c r="V364">
        <v>430.99</v>
      </c>
      <c r="W364">
        <v>448.29</v>
      </c>
    </row>
    <row r="365" spans="1:23" x14ac:dyDescent="0.35">
      <c r="A365" s="2" t="s">
        <v>319</v>
      </c>
      <c r="B365">
        <v>1.81</v>
      </c>
      <c r="C365">
        <v>1.79</v>
      </c>
      <c r="D365">
        <v>1.82</v>
      </c>
      <c r="E365">
        <v>1.84</v>
      </c>
      <c r="F365">
        <v>1.85</v>
      </c>
      <c r="G365">
        <v>1.87</v>
      </c>
      <c r="H365">
        <v>1.69</v>
      </c>
      <c r="I365">
        <v>1.68</v>
      </c>
      <c r="J365">
        <v>1.7</v>
      </c>
      <c r="K365">
        <v>1.69</v>
      </c>
      <c r="L365">
        <v>1.62</v>
      </c>
      <c r="M365">
        <v>1.66</v>
      </c>
      <c r="N365">
        <v>1.59</v>
      </c>
      <c r="O365">
        <v>1.55</v>
      </c>
      <c r="P365">
        <v>1.59</v>
      </c>
      <c r="Q365">
        <v>1.56</v>
      </c>
      <c r="R365">
        <v>1.6</v>
      </c>
      <c r="S365">
        <v>1.66</v>
      </c>
      <c r="T365">
        <v>1.71</v>
      </c>
      <c r="U365">
        <v>1.71</v>
      </c>
      <c r="V365">
        <v>1.7</v>
      </c>
      <c r="W365">
        <v>1.63</v>
      </c>
    </row>
    <row r="366" spans="1:23" x14ac:dyDescent="0.35">
      <c r="A366" s="2" t="s">
        <v>320</v>
      </c>
      <c r="B366">
        <v>53.83</v>
      </c>
      <c r="C366">
        <v>56.33</v>
      </c>
      <c r="D366">
        <v>62.02</v>
      </c>
      <c r="E366">
        <v>63.76</v>
      </c>
      <c r="F366">
        <v>65.239999999999995</v>
      </c>
      <c r="G366">
        <v>62.81</v>
      </c>
      <c r="H366">
        <v>56.9</v>
      </c>
      <c r="I366">
        <v>55.63</v>
      </c>
      <c r="J366">
        <v>53.16</v>
      </c>
      <c r="K366">
        <v>54.37</v>
      </c>
      <c r="L366">
        <v>57.37</v>
      </c>
      <c r="M366">
        <v>55.19</v>
      </c>
      <c r="N366">
        <v>54.24</v>
      </c>
      <c r="O366">
        <v>51.8</v>
      </c>
      <c r="P366">
        <v>47.79</v>
      </c>
      <c r="Q366">
        <v>46.68</v>
      </c>
      <c r="R366">
        <v>43.33</v>
      </c>
      <c r="S366">
        <v>41.08</v>
      </c>
      <c r="T366">
        <v>42.51</v>
      </c>
      <c r="U366">
        <v>42.44</v>
      </c>
      <c r="V366">
        <v>40.479999999999997</v>
      </c>
      <c r="W366">
        <v>39.28</v>
      </c>
    </row>
    <row r="367" spans="1:23" x14ac:dyDescent="0.35">
      <c r="A367" s="2" t="s">
        <v>321</v>
      </c>
      <c r="B367">
        <v>4.66</v>
      </c>
      <c r="C367">
        <v>4.83</v>
      </c>
      <c r="D367">
        <v>4.96</v>
      </c>
      <c r="E367">
        <v>5.23</v>
      </c>
      <c r="F367">
        <v>5.47</v>
      </c>
      <c r="G367">
        <v>5.5</v>
      </c>
      <c r="H367">
        <v>5.45</v>
      </c>
      <c r="I367">
        <v>5.42</v>
      </c>
      <c r="J367">
        <v>5.42</v>
      </c>
      <c r="K367">
        <v>5.41</v>
      </c>
      <c r="L367">
        <v>5.27</v>
      </c>
      <c r="M367">
        <v>5.32</v>
      </c>
      <c r="N367">
        <v>5.33</v>
      </c>
      <c r="O367">
        <v>5.15</v>
      </c>
      <c r="P367">
        <v>5</v>
      </c>
      <c r="Q367">
        <v>4.8899999999999997</v>
      </c>
      <c r="R367">
        <v>4.74</v>
      </c>
      <c r="S367">
        <v>4.76</v>
      </c>
      <c r="T367">
        <v>4.84</v>
      </c>
      <c r="U367">
        <v>4.84</v>
      </c>
      <c r="V367">
        <v>4.9000000000000004</v>
      </c>
      <c r="W367">
        <v>4.87</v>
      </c>
    </row>
    <row r="368" spans="1:23" x14ac:dyDescent="0.35">
      <c r="A368" s="2" t="s">
        <v>322</v>
      </c>
      <c r="B368">
        <v>171.07</v>
      </c>
      <c r="C368">
        <v>182.08</v>
      </c>
      <c r="D368">
        <v>195.89</v>
      </c>
      <c r="E368">
        <v>205.18</v>
      </c>
      <c r="F368">
        <v>210.41</v>
      </c>
      <c r="G368">
        <v>198.5</v>
      </c>
      <c r="H368">
        <v>181.81</v>
      </c>
      <c r="I368">
        <v>176.94</v>
      </c>
      <c r="J368">
        <v>158.71</v>
      </c>
      <c r="K368">
        <v>154.91999999999999</v>
      </c>
      <c r="L368">
        <v>153.38999999999999</v>
      </c>
      <c r="M368">
        <v>147.07</v>
      </c>
      <c r="N368">
        <v>147.79</v>
      </c>
      <c r="O368">
        <v>148.16</v>
      </c>
      <c r="P368">
        <v>148.16</v>
      </c>
      <c r="Q368">
        <v>147.69999999999999</v>
      </c>
      <c r="R368">
        <v>144.19</v>
      </c>
      <c r="S368">
        <v>138.05000000000001</v>
      </c>
      <c r="T368">
        <v>136.97</v>
      </c>
      <c r="U368">
        <v>136.15</v>
      </c>
      <c r="V368">
        <v>131.82</v>
      </c>
      <c r="W368">
        <v>131.46</v>
      </c>
    </row>
    <row r="369" spans="1:23" x14ac:dyDescent="0.35">
      <c r="A369" s="2" t="s">
        <v>323</v>
      </c>
      <c r="B369">
        <v>6.62</v>
      </c>
      <c r="C369">
        <v>6.78</v>
      </c>
      <c r="D369">
        <v>6.87</v>
      </c>
      <c r="E369">
        <v>6.92</v>
      </c>
      <c r="F369">
        <v>6.82</v>
      </c>
      <c r="G369">
        <v>6.57</v>
      </c>
      <c r="H369">
        <v>6.64</v>
      </c>
      <c r="I369">
        <v>6.87</v>
      </c>
      <c r="J369">
        <v>6.86</v>
      </c>
      <c r="K369">
        <v>7.17</v>
      </c>
      <c r="L369">
        <v>7.59</v>
      </c>
      <c r="M369">
        <v>7.98</v>
      </c>
      <c r="N369">
        <v>8.27</v>
      </c>
      <c r="O369">
        <v>7.82</v>
      </c>
      <c r="P369">
        <v>7.68</v>
      </c>
      <c r="Q369">
        <v>7.71</v>
      </c>
      <c r="R369">
        <v>7.76</v>
      </c>
      <c r="S369">
        <v>7.52</v>
      </c>
      <c r="T369">
        <v>7.35</v>
      </c>
      <c r="U369">
        <v>7.29</v>
      </c>
      <c r="V369">
        <v>7.29</v>
      </c>
      <c r="W369">
        <v>7.6</v>
      </c>
    </row>
    <row r="370" spans="1:23" x14ac:dyDescent="0.35">
      <c r="A370" s="2" t="s">
        <v>324</v>
      </c>
      <c r="B370">
        <v>13.45</v>
      </c>
      <c r="C370">
        <v>13.43</v>
      </c>
      <c r="D370">
        <v>13.48</v>
      </c>
      <c r="E370">
        <v>13.62</v>
      </c>
      <c r="F370">
        <v>13.41</v>
      </c>
      <c r="G370">
        <v>13.28</v>
      </c>
      <c r="H370">
        <v>13.36</v>
      </c>
      <c r="I370">
        <v>13.49</v>
      </c>
      <c r="J370">
        <v>13.4</v>
      </c>
      <c r="K370">
        <v>13.42</v>
      </c>
      <c r="L370">
        <v>13.4</v>
      </c>
      <c r="M370">
        <v>13.49</v>
      </c>
      <c r="N370">
        <v>13.5</v>
      </c>
      <c r="O370">
        <v>13.46</v>
      </c>
      <c r="P370">
        <v>13.63</v>
      </c>
      <c r="Q370">
        <v>13.67</v>
      </c>
      <c r="R370">
        <v>13.52</v>
      </c>
      <c r="S370">
        <v>13.66</v>
      </c>
      <c r="T370">
        <v>13.68</v>
      </c>
      <c r="U370">
        <v>14.58</v>
      </c>
      <c r="V370">
        <v>15.56</v>
      </c>
      <c r="W370">
        <v>15.65</v>
      </c>
    </row>
    <row r="371" spans="1:23" x14ac:dyDescent="0.35">
      <c r="A371" s="2" t="s">
        <v>325</v>
      </c>
      <c r="B371">
        <v>139.15</v>
      </c>
      <c r="C371">
        <v>138.97</v>
      </c>
      <c r="D371">
        <v>141.07</v>
      </c>
      <c r="E371">
        <v>141.16</v>
      </c>
      <c r="F371">
        <v>142.07</v>
      </c>
      <c r="G371">
        <v>144.16</v>
      </c>
      <c r="H371">
        <v>146.53</v>
      </c>
      <c r="I371">
        <v>150.9</v>
      </c>
      <c r="J371">
        <v>152.81</v>
      </c>
      <c r="K371">
        <v>154.72999999999999</v>
      </c>
      <c r="L371">
        <v>154.72999999999999</v>
      </c>
      <c r="M371">
        <v>155.72999999999999</v>
      </c>
      <c r="N371">
        <v>156.36000000000001</v>
      </c>
      <c r="O371">
        <v>155</v>
      </c>
      <c r="P371">
        <v>158.55000000000001</v>
      </c>
      <c r="Q371">
        <v>157.18</v>
      </c>
      <c r="R371">
        <v>157.09</v>
      </c>
      <c r="S371">
        <v>158.72999999999999</v>
      </c>
      <c r="T371">
        <v>161.83000000000001</v>
      </c>
      <c r="U371">
        <v>164.93</v>
      </c>
      <c r="V371">
        <v>165.56</v>
      </c>
      <c r="W371">
        <v>167.02</v>
      </c>
    </row>
    <row r="372" spans="1:23" x14ac:dyDescent="0.35">
      <c r="A372" s="2" t="s">
        <v>326</v>
      </c>
      <c r="B372">
        <v>3.39</v>
      </c>
      <c r="C372">
        <v>3.4</v>
      </c>
      <c r="D372">
        <v>3.41</v>
      </c>
      <c r="E372">
        <v>3.44</v>
      </c>
      <c r="F372">
        <v>3.53</v>
      </c>
      <c r="G372">
        <v>3.55</v>
      </c>
      <c r="H372">
        <v>3.54</v>
      </c>
      <c r="I372">
        <v>3.51</v>
      </c>
      <c r="J372">
        <v>3.49</v>
      </c>
      <c r="K372">
        <v>3.36</v>
      </c>
      <c r="L372">
        <v>3.52</v>
      </c>
      <c r="M372">
        <v>3.6</v>
      </c>
      <c r="N372">
        <v>3.57</v>
      </c>
      <c r="O372">
        <v>3.57</v>
      </c>
      <c r="P372">
        <v>3.57</v>
      </c>
      <c r="Q372">
        <v>3.56</v>
      </c>
      <c r="R372">
        <v>3.58</v>
      </c>
      <c r="S372">
        <v>3.59</v>
      </c>
      <c r="T372">
        <v>3.62</v>
      </c>
      <c r="U372">
        <v>3.63</v>
      </c>
      <c r="V372">
        <v>3.63</v>
      </c>
      <c r="W372">
        <v>3.63</v>
      </c>
    </row>
    <row r="373" spans="1:23" x14ac:dyDescent="0.35">
      <c r="A373" s="2" t="s">
        <v>327</v>
      </c>
      <c r="B373">
        <v>125.73</v>
      </c>
      <c r="C373">
        <v>125.52</v>
      </c>
      <c r="D373">
        <v>125.42</v>
      </c>
      <c r="E373">
        <v>125.83</v>
      </c>
      <c r="F373">
        <v>126.85</v>
      </c>
      <c r="G373">
        <v>126.24</v>
      </c>
      <c r="H373">
        <v>125.83</v>
      </c>
      <c r="I373">
        <v>126.64</v>
      </c>
      <c r="J373">
        <v>127.36</v>
      </c>
      <c r="K373">
        <v>127.46</v>
      </c>
      <c r="L373">
        <v>128.58000000000001</v>
      </c>
      <c r="M373">
        <v>128.68</v>
      </c>
      <c r="N373">
        <v>127.87</v>
      </c>
      <c r="O373">
        <v>127.87</v>
      </c>
      <c r="P373">
        <v>127.05</v>
      </c>
      <c r="Q373">
        <v>130.11000000000001</v>
      </c>
      <c r="R373">
        <v>130.62</v>
      </c>
      <c r="S373">
        <v>131.63999999999999</v>
      </c>
      <c r="T373">
        <v>131.74</v>
      </c>
      <c r="U373">
        <v>132.96</v>
      </c>
      <c r="V373">
        <v>135.1</v>
      </c>
      <c r="W373">
        <v>137.65</v>
      </c>
    </row>
    <row r="374" spans="1:23" x14ac:dyDescent="0.35">
      <c r="A374" s="2" t="s">
        <v>833</v>
      </c>
      <c r="B374">
        <v>57.08</v>
      </c>
      <c r="C374">
        <v>56.3</v>
      </c>
      <c r="D374">
        <v>57.49</v>
      </c>
      <c r="E374">
        <v>60.68</v>
      </c>
      <c r="F374">
        <v>60.45</v>
      </c>
      <c r="G374">
        <v>64.52</v>
      </c>
      <c r="H374">
        <v>64.59</v>
      </c>
      <c r="I374">
        <v>63.33</v>
      </c>
      <c r="J374">
        <v>61.6</v>
      </c>
      <c r="K374">
        <v>60.62</v>
      </c>
      <c r="L374">
        <v>60.04</v>
      </c>
      <c r="M374">
        <v>58.68</v>
      </c>
      <c r="N374">
        <v>56.61</v>
      </c>
      <c r="O374">
        <v>56.1</v>
      </c>
      <c r="P374">
        <v>58.99</v>
      </c>
      <c r="Q374">
        <v>61.5</v>
      </c>
      <c r="R374">
        <v>62.08</v>
      </c>
      <c r="S374">
        <v>64.69</v>
      </c>
      <c r="T374">
        <v>63.81</v>
      </c>
      <c r="U374">
        <v>62.01</v>
      </c>
      <c r="V374">
        <v>60.75</v>
      </c>
      <c r="W374">
        <v>61.91</v>
      </c>
    </row>
    <row r="375" spans="1:23" x14ac:dyDescent="0.35">
      <c r="A375" s="2" t="s">
        <v>328</v>
      </c>
      <c r="B375">
        <v>3.92</v>
      </c>
      <c r="C375">
        <v>3.98</v>
      </c>
      <c r="D375">
        <v>4</v>
      </c>
      <c r="E375">
        <v>4.1100000000000003</v>
      </c>
      <c r="F375">
        <v>4.1100000000000003</v>
      </c>
      <c r="G375">
        <v>4.1900000000000004</v>
      </c>
      <c r="H375">
        <v>4.2300000000000004</v>
      </c>
      <c r="I375">
        <v>4.28</v>
      </c>
      <c r="J375">
        <v>4.37</v>
      </c>
      <c r="K375">
        <v>4.32</v>
      </c>
      <c r="L375">
        <v>4.4400000000000004</v>
      </c>
      <c r="M375">
        <v>4.47</v>
      </c>
      <c r="N375">
        <v>4.43</v>
      </c>
      <c r="O375">
        <v>4.4000000000000004</v>
      </c>
      <c r="P375">
        <v>4.4400000000000004</v>
      </c>
      <c r="Q375">
        <v>4.41</v>
      </c>
      <c r="R375">
        <v>4.38</v>
      </c>
      <c r="S375">
        <v>4.46</v>
      </c>
      <c r="T375">
        <v>4.5</v>
      </c>
      <c r="U375">
        <v>4.51</v>
      </c>
      <c r="V375">
        <v>4.5199999999999996</v>
      </c>
      <c r="W375">
        <v>4.51</v>
      </c>
    </row>
    <row r="376" spans="1:23" x14ac:dyDescent="0.35">
      <c r="A376" s="2" t="s">
        <v>329</v>
      </c>
      <c r="B376">
        <v>38.93</v>
      </c>
      <c r="C376">
        <v>39.6</v>
      </c>
      <c r="D376">
        <v>40.880000000000003</v>
      </c>
      <c r="E376">
        <v>41.75</v>
      </c>
      <c r="F376">
        <v>41.16</v>
      </c>
      <c r="G376">
        <v>41.18</v>
      </c>
      <c r="H376">
        <v>41.59</v>
      </c>
      <c r="I376">
        <v>42.34</v>
      </c>
      <c r="J376">
        <v>41.97</v>
      </c>
      <c r="K376">
        <v>41.59</v>
      </c>
      <c r="L376">
        <v>42.5</v>
      </c>
      <c r="M376">
        <v>42.5</v>
      </c>
      <c r="N376">
        <v>42.84</v>
      </c>
      <c r="O376">
        <v>42.94</v>
      </c>
      <c r="P376">
        <v>43.11</v>
      </c>
      <c r="Q376">
        <v>43.23</v>
      </c>
      <c r="R376">
        <v>42.3</v>
      </c>
      <c r="S376">
        <v>42.6</v>
      </c>
      <c r="T376">
        <v>42.82</v>
      </c>
      <c r="U376">
        <v>43.39</v>
      </c>
      <c r="V376">
        <v>43.49</v>
      </c>
      <c r="W376">
        <v>43.17</v>
      </c>
    </row>
    <row r="377" spans="1:23" x14ac:dyDescent="0.35">
      <c r="A377" s="2" t="s">
        <v>834</v>
      </c>
      <c r="B377">
        <v>49.83</v>
      </c>
      <c r="C377">
        <v>50.15</v>
      </c>
      <c r="D377">
        <v>50.47</v>
      </c>
      <c r="E377">
        <v>50.67</v>
      </c>
      <c r="F377">
        <v>51.23</v>
      </c>
      <c r="G377">
        <v>51.23</v>
      </c>
      <c r="H377">
        <v>51.19</v>
      </c>
      <c r="I377">
        <v>51.51</v>
      </c>
      <c r="J377">
        <v>51.83</v>
      </c>
      <c r="K377">
        <v>52.08</v>
      </c>
      <c r="L377">
        <v>52.48</v>
      </c>
      <c r="M377">
        <v>52.68</v>
      </c>
      <c r="N377">
        <v>52.56</v>
      </c>
      <c r="O377">
        <v>53</v>
      </c>
      <c r="P377">
        <v>52.68</v>
      </c>
      <c r="Q377">
        <v>53</v>
      </c>
      <c r="R377">
        <v>53.04</v>
      </c>
      <c r="S377">
        <v>53.04</v>
      </c>
      <c r="T377">
        <v>53.08</v>
      </c>
      <c r="U377">
        <v>53.48</v>
      </c>
      <c r="V377">
        <v>53.52</v>
      </c>
      <c r="W377">
        <v>53.76</v>
      </c>
    </row>
    <row r="378" spans="1:23" x14ac:dyDescent="0.35">
      <c r="A378" s="2" t="s">
        <v>330</v>
      </c>
      <c r="B378">
        <v>26.62</v>
      </c>
      <c r="C378">
        <v>26.87</v>
      </c>
      <c r="D378">
        <v>26.85</v>
      </c>
      <c r="E378">
        <v>27.11</v>
      </c>
      <c r="F378">
        <v>27.34</v>
      </c>
      <c r="G378">
        <v>27.34</v>
      </c>
      <c r="H378">
        <v>27.37</v>
      </c>
      <c r="I378">
        <v>27.29</v>
      </c>
      <c r="J378">
        <v>27.41</v>
      </c>
      <c r="K378">
        <v>27.37</v>
      </c>
      <c r="L378">
        <v>27.88</v>
      </c>
      <c r="M378">
        <v>28.04</v>
      </c>
      <c r="N378">
        <v>28.02</v>
      </c>
      <c r="O378">
        <v>28.28</v>
      </c>
      <c r="P378">
        <v>28.21</v>
      </c>
      <c r="Q378">
        <v>28.37</v>
      </c>
      <c r="R378">
        <v>28.42</v>
      </c>
      <c r="S378">
        <v>28.51</v>
      </c>
      <c r="T378">
        <v>28.44</v>
      </c>
      <c r="U378">
        <v>28.6</v>
      </c>
      <c r="V378">
        <v>28.58</v>
      </c>
      <c r="W378">
        <v>28.67</v>
      </c>
    </row>
    <row r="379" spans="1:23" x14ac:dyDescent="0.35">
      <c r="A379" s="2" t="s">
        <v>331</v>
      </c>
      <c r="B379">
        <v>11.41</v>
      </c>
      <c r="C379">
        <v>11.4</v>
      </c>
      <c r="D379">
        <v>11.73</v>
      </c>
      <c r="E379">
        <v>11.64</v>
      </c>
      <c r="F379">
        <v>11.75</v>
      </c>
      <c r="G379">
        <v>11.65</v>
      </c>
      <c r="H379">
        <v>11.57</v>
      </c>
      <c r="I379">
        <v>11.83</v>
      </c>
      <c r="J379">
        <v>11.92</v>
      </c>
      <c r="K379">
        <v>12.01</v>
      </c>
      <c r="L379">
        <v>11.93</v>
      </c>
      <c r="M379">
        <v>11.86</v>
      </c>
      <c r="N379">
        <v>11.78</v>
      </c>
      <c r="O379">
        <v>11.99</v>
      </c>
      <c r="P379">
        <v>11.71</v>
      </c>
      <c r="Q379">
        <v>11.88</v>
      </c>
      <c r="R379">
        <v>11.83</v>
      </c>
      <c r="S379">
        <v>11.75</v>
      </c>
      <c r="T379">
        <v>11.8</v>
      </c>
      <c r="U379">
        <v>11.9</v>
      </c>
      <c r="V379">
        <v>11.83</v>
      </c>
      <c r="W379">
        <v>12</v>
      </c>
    </row>
    <row r="380" spans="1:23" x14ac:dyDescent="0.35">
      <c r="A380" s="2" t="s">
        <v>332</v>
      </c>
      <c r="B380">
        <v>11.8</v>
      </c>
      <c r="C380">
        <v>11.9</v>
      </c>
      <c r="D380">
        <v>11.92</v>
      </c>
      <c r="E380">
        <v>11.97</v>
      </c>
      <c r="F380">
        <v>12.16</v>
      </c>
      <c r="G380">
        <v>12.26</v>
      </c>
      <c r="H380">
        <v>12.27</v>
      </c>
      <c r="I380">
        <v>12.42</v>
      </c>
      <c r="J380">
        <v>12.53</v>
      </c>
      <c r="K380">
        <v>12.72</v>
      </c>
      <c r="L380">
        <v>12.69</v>
      </c>
      <c r="M380">
        <v>12.8</v>
      </c>
      <c r="N380">
        <v>12.77</v>
      </c>
      <c r="O380">
        <v>12.77</v>
      </c>
      <c r="P380">
        <v>12.8</v>
      </c>
      <c r="Q380">
        <v>12.78</v>
      </c>
      <c r="R380">
        <v>12.84</v>
      </c>
      <c r="S380">
        <v>12.82</v>
      </c>
      <c r="T380">
        <v>12.88</v>
      </c>
      <c r="U380">
        <v>13</v>
      </c>
      <c r="V380">
        <v>13.12</v>
      </c>
      <c r="W380">
        <v>13.13</v>
      </c>
    </row>
    <row r="381" spans="1:23" x14ac:dyDescent="0.35">
      <c r="A381" s="2" t="s">
        <v>333</v>
      </c>
      <c r="B381">
        <v>32.49</v>
      </c>
      <c r="C381">
        <v>32.22</v>
      </c>
      <c r="D381">
        <v>31.28</v>
      </c>
      <c r="E381">
        <v>31.56</v>
      </c>
      <c r="F381">
        <v>31.36</v>
      </c>
      <c r="G381">
        <v>31.41</v>
      </c>
      <c r="H381">
        <v>31</v>
      </c>
      <c r="I381">
        <v>31.03</v>
      </c>
      <c r="J381">
        <v>30.95</v>
      </c>
      <c r="K381">
        <v>31.08</v>
      </c>
      <c r="L381">
        <v>30.95</v>
      </c>
      <c r="M381">
        <v>30.8</v>
      </c>
      <c r="N381">
        <v>31.36</v>
      </c>
      <c r="O381">
        <v>31.38</v>
      </c>
      <c r="P381">
        <v>31.68</v>
      </c>
      <c r="Q381">
        <v>31.74</v>
      </c>
      <c r="R381">
        <v>31.61</v>
      </c>
      <c r="S381">
        <v>31.71</v>
      </c>
      <c r="T381">
        <v>31.63</v>
      </c>
      <c r="U381">
        <v>31.58</v>
      </c>
      <c r="V381">
        <v>31.61</v>
      </c>
      <c r="W381">
        <v>31.61</v>
      </c>
    </row>
    <row r="382" spans="1:23" x14ac:dyDescent="0.35">
      <c r="A382" s="2" t="s">
        <v>334</v>
      </c>
      <c r="B382">
        <v>21.02</v>
      </c>
      <c r="C382">
        <v>21.04</v>
      </c>
      <c r="D382">
        <v>21.19</v>
      </c>
      <c r="E382">
        <v>21.65</v>
      </c>
      <c r="F382">
        <v>21.64</v>
      </c>
      <c r="G382">
        <v>21.44</v>
      </c>
      <c r="H382">
        <v>21.22</v>
      </c>
      <c r="I382">
        <v>21.11</v>
      </c>
      <c r="J382">
        <v>21.16</v>
      </c>
      <c r="K382">
        <v>21.15</v>
      </c>
      <c r="L382">
        <v>21.19</v>
      </c>
      <c r="M382">
        <v>21.3</v>
      </c>
      <c r="N382">
        <v>21.36</v>
      </c>
      <c r="O382">
        <v>21.41</v>
      </c>
      <c r="P382">
        <v>21.44</v>
      </c>
      <c r="Q382">
        <v>21.54</v>
      </c>
      <c r="R382">
        <v>22.07</v>
      </c>
      <c r="S382">
        <v>22.73</v>
      </c>
      <c r="T382">
        <v>22.29</v>
      </c>
      <c r="U382">
        <v>22.14</v>
      </c>
      <c r="V382">
        <v>22.07</v>
      </c>
      <c r="W382">
        <v>22.01</v>
      </c>
    </row>
    <row r="383" spans="1:23" x14ac:dyDescent="0.35">
      <c r="A383" s="2" t="s">
        <v>335</v>
      </c>
      <c r="B383">
        <v>29.59</v>
      </c>
      <c r="C383">
        <v>29.11</v>
      </c>
      <c r="D383">
        <v>29.77</v>
      </c>
      <c r="E383">
        <v>30.31</v>
      </c>
      <c r="F383">
        <v>30.63</v>
      </c>
      <c r="G383">
        <v>30.63</v>
      </c>
      <c r="H383">
        <v>31.58</v>
      </c>
      <c r="I383">
        <v>30.97</v>
      </c>
      <c r="J383">
        <v>31.22</v>
      </c>
      <c r="K383">
        <v>31.33</v>
      </c>
      <c r="L383">
        <v>31.13</v>
      </c>
      <c r="M383">
        <v>31.67</v>
      </c>
      <c r="N383">
        <v>31.69</v>
      </c>
      <c r="O383">
        <v>31.63</v>
      </c>
      <c r="P383">
        <v>31.76</v>
      </c>
      <c r="Q383">
        <v>31.72</v>
      </c>
      <c r="R383">
        <v>31.83</v>
      </c>
      <c r="S383">
        <v>32.42</v>
      </c>
      <c r="T383">
        <v>32.9</v>
      </c>
      <c r="U383">
        <v>32.85</v>
      </c>
      <c r="V383">
        <v>33.26</v>
      </c>
      <c r="W383">
        <v>33.369999999999997</v>
      </c>
    </row>
    <row r="384" spans="1:23" x14ac:dyDescent="0.35">
      <c r="A384" s="2" t="s">
        <v>336</v>
      </c>
      <c r="B384">
        <v>62.89</v>
      </c>
      <c r="C384">
        <v>64.08</v>
      </c>
      <c r="D384">
        <v>64.03</v>
      </c>
      <c r="E384">
        <v>64.349999999999994</v>
      </c>
      <c r="F384">
        <v>64.83</v>
      </c>
      <c r="G384">
        <v>65.319999999999993</v>
      </c>
      <c r="H384">
        <v>64.56</v>
      </c>
      <c r="I384">
        <v>63.27</v>
      </c>
      <c r="J384">
        <v>62.14</v>
      </c>
      <c r="K384">
        <v>61.39</v>
      </c>
      <c r="L384">
        <v>60.04</v>
      </c>
      <c r="M384">
        <v>59.12</v>
      </c>
      <c r="N384">
        <v>59.39</v>
      </c>
      <c r="O384">
        <v>59.12</v>
      </c>
      <c r="P384">
        <v>58.91</v>
      </c>
      <c r="Q384">
        <v>59.12</v>
      </c>
      <c r="R384">
        <v>58.26</v>
      </c>
      <c r="S384">
        <v>57.62</v>
      </c>
      <c r="T384">
        <v>56.97</v>
      </c>
      <c r="U384">
        <v>56.92</v>
      </c>
      <c r="V384">
        <v>57.08</v>
      </c>
      <c r="W384">
        <v>57.08</v>
      </c>
    </row>
    <row r="385" spans="1:23" x14ac:dyDescent="0.35">
      <c r="A385" s="2" t="s">
        <v>337</v>
      </c>
      <c r="B385">
        <v>225.45</v>
      </c>
      <c r="C385">
        <v>228.61</v>
      </c>
      <c r="D385">
        <v>232.08</v>
      </c>
      <c r="E385">
        <v>234.64</v>
      </c>
      <c r="F385">
        <v>239.31</v>
      </c>
      <c r="G385">
        <v>240.06</v>
      </c>
      <c r="H385">
        <v>240.66</v>
      </c>
      <c r="I385">
        <v>240.66</v>
      </c>
      <c r="J385">
        <v>238.55</v>
      </c>
      <c r="K385">
        <v>241.11</v>
      </c>
      <c r="L385">
        <v>239.76</v>
      </c>
      <c r="M385">
        <v>238.55</v>
      </c>
      <c r="N385">
        <v>239.01</v>
      </c>
      <c r="O385">
        <v>239.91</v>
      </c>
      <c r="P385">
        <v>240.21</v>
      </c>
      <c r="Q385">
        <v>241.41</v>
      </c>
      <c r="R385">
        <v>239.61</v>
      </c>
      <c r="S385">
        <v>238.1</v>
      </c>
      <c r="T385">
        <v>237.2</v>
      </c>
      <c r="U385">
        <v>236.29</v>
      </c>
      <c r="V385">
        <v>236.6</v>
      </c>
      <c r="W385">
        <v>236.14</v>
      </c>
    </row>
    <row r="386" spans="1:23" x14ac:dyDescent="0.35">
      <c r="A386" s="2" t="s">
        <v>338</v>
      </c>
      <c r="B386">
        <v>1.24</v>
      </c>
      <c r="C386">
        <v>1.27</v>
      </c>
      <c r="D386">
        <v>1.29</v>
      </c>
      <c r="E386">
        <v>1.32</v>
      </c>
      <c r="F386">
        <v>1.35</v>
      </c>
      <c r="G386">
        <v>1.34</v>
      </c>
      <c r="H386">
        <v>1.38</v>
      </c>
      <c r="I386">
        <v>1.36</v>
      </c>
      <c r="J386">
        <v>1.37</v>
      </c>
      <c r="K386">
        <v>1.33</v>
      </c>
      <c r="L386">
        <v>1.37</v>
      </c>
      <c r="M386">
        <v>1.33</v>
      </c>
      <c r="N386">
        <v>1.35</v>
      </c>
      <c r="O386">
        <v>1.35</v>
      </c>
      <c r="P386">
        <v>1.35</v>
      </c>
      <c r="Q386">
        <v>1.3</v>
      </c>
      <c r="R386">
        <v>1.31</v>
      </c>
      <c r="S386">
        <v>1.25</v>
      </c>
      <c r="T386">
        <v>1.25</v>
      </c>
      <c r="U386">
        <v>1.27</v>
      </c>
      <c r="V386">
        <v>1.26</v>
      </c>
      <c r="W386">
        <v>1.26</v>
      </c>
    </row>
    <row r="387" spans="1:23" x14ac:dyDescent="0.35">
      <c r="A387" s="2" t="s">
        <v>339</v>
      </c>
      <c r="B387">
        <v>6.37</v>
      </c>
      <c r="C387">
        <v>6.39</v>
      </c>
      <c r="D387">
        <v>6.64</v>
      </c>
      <c r="E387">
        <v>6.7</v>
      </c>
      <c r="F387">
        <v>6.56</v>
      </c>
      <c r="G387">
        <v>6.45</v>
      </c>
      <c r="H387">
        <v>6.34</v>
      </c>
      <c r="I387">
        <v>6.14</v>
      </c>
      <c r="J387">
        <v>6.15</v>
      </c>
      <c r="K387">
        <v>6.07</v>
      </c>
      <c r="L387">
        <v>5.94</v>
      </c>
      <c r="M387">
        <v>5.88</v>
      </c>
      <c r="N387">
        <v>5.97</v>
      </c>
      <c r="O387">
        <v>6.02</v>
      </c>
      <c r="P387">
        <v>6.02</v>
      </c>
      <c r="Q387">
        <v>6</v>
      </c>
      <c r="R387">
        <v>5.93</v>
      </c>
      <c r="S387">
        <v>5.83</v>
      </c>
      <c r="T387">
        <v>5.81</v>
      </c>
      <c r="U387">
        <v>5.88</v>
      </c>
      <c r="V387">
        <v>5.96</v>
      </c>
      <c r="W387">
        <v>5.92</v>
      </c>
    </row>
    <row r="388" spans="1:23" x14ac:dyDescent="0.35">
      <c r="A388" s="2" t="s">
        <v>340</v>
      </c>
      <c r="B388">
        <v>62.45</v>
      </c>
      <c r="C388">
        <v>63.16</v>
      </c>
      <c r="D388">
        <v>63.29</v>
      </c>
      <c r="E388">
        <v>63.23</v>
      </c>
      <c r="F388">
        <v>62.84</v>
      </c>
      <c r="G388">
        <v>62.61</v>
      </c>
      <c r="H388">
        <v>62.13</v>
      </c>
      <c r="I388">
        <v>62.29</v>
      </c>
      <c r="J388">
        <v>62.03</v>
      </c>
      <c r="K388">
        <v>62</v>
      </c>
      <c r="L388">
        <v>61</v>
      </c>
      <c r="M388">
        <v>60.58</v>
      </c>
      <c r="N388">
        <v>60.1</v>
      </c>
      <c r="O388">
        <v>59.29</v>
      </c>
      <c r="P388">
        <v>59.2</v>
      </c>
      <c r="Q388">
        <v>58.71</v>
      </c>
      <c r="R388">
        <v>58.17</v>
      </c>
      <c r="S388">
        <v>58.1</v>
      </c>
      <c r="T388">
        <v>57.71</v>
      </c>
      <c r="U388">
        <v>57.84</v>
      </c>
      <c r="V388">
        <v>57.65</v>
      </c>
      <c r="W388">
        <v>56.97</v>
      </c>
    </row>
    <row r="389" spans="1:23" x14ac:dyDescent="0.35">
      <c r="A389" s="2" t="s">
        <v>341</v>
      </c>
      <c r="B389">
        <v>22.62</v>
      </c>
      <c r="C389">
        <v>22.54</v>
      </c>
      <c r="D389">
        <v>22.33</v>
      </c>
      <c r="E389">
        <v>23.11</v>
      </c>
      <c r="F389">
        <v>23.16</v>
      </c>
      <c r="G389">
        <v>23.08</v>
      </c>
      <c r="H389">
        <v>23.02</v>
      </c>
      <c r="I389">
        <v>23.41</v>
      </c>
      <c r="J389">
        <v>23.22</v>
      </c>
      <c r="K389">
        <v>23.01</v>
      </c>
      <c r="L389">
        <v>22.55</v>
      </c>
      <c r="M389">
        <v>21.98</v>
      </c>
      <c r="N389">
        <v>21.59</v>
      </c>
      <c r="O389">
        <v>21.43</v>
      </c>
      <c r="P389">
        <v>21.52</v>
      </c>
      <c r="Q389">
        <v>21.38</v>
      </c>
      <c r="R389">
        <v>21.17</v>
      </c>
      <c r="S389">
        <v>20.96</v>
      </c>
      <c r="T389">
        <v>20.75</v>
      </c>
      <c r="U389">
        <v>20.89</v>
      </c>
      <c r="V389">
        <v>20.74</v>
      </c>
      <c r="W389">
        <v>21.14</v>
      </c>
    </row>
    <row r="390" spans="1:23" x14ac:dyDescent="0.35">
      <c r="A390" s="2" t="s">
        <v>342</v>
      </c>
      <c r="B390">
        <v>2.2000000000000002</v>
      </c>
      <c r="C390">
        <v>2.23</v>
      </c>
      <c r="D390">
        <v>2.19</v>
      </c>
      <c r="E390">
        <v>2.23</v>
      </c>
      <c r="F390">
        <v>2.25</v>
      </c>
      <c r="G390">
        <v>2.2000000000000002</v>
      </c>
      <c r="H390">
        <v>2.23</v>
      </c>
      <c r="I390">
        <v>2.2200000000000002</v>
      </c>
      <c r="J390">
        <v>2.2799999999999998</v>
      </c>
      <c r="K390">
        <v>2.2400000000000002</v>
      </c>
      <c r="L390">
        <v>2.2000000000000002</v>
      </c>
      <c r="M390">
        <v>2.08</v>
      </c>
      <c r="N390">
        <v>2.06</v>
      </c>
      <c r="O390">
        <v>2</v>
      </c>
      <c r="P390">
        <v>1.98</v>
      </c>
      <c r="Q390">
        <v>1.97</v>
      </c>
      <c r="R390">
        <v>1.93</v>
      </c>
      <c r="S390">
        <v>1.9</v>
      </c>
      <c r="T390">
        <v>1.97</v>
      </c>
      <c r="U390">
        <v>1.94</v>
      </c>
      <c r="V390">
        <v>1.96</v>
      </c>
      <c r="W390">
        <v>1.92</v>
      </c>
    </row>
    <row r="391" spans="1:23" x14ac:dyDescent="0.35">
      <c r="A391" s="2" t="s">
        <v>343</v>
      </c>
      <c r="B391">
        <v>1.06</v>
      </c>
      <c r="C391">
        <v>1.06</v>
      </c>
      <c r="D391">
        <v>1.06</v>
      </c>
      <c r="E391">
        <v>1.06</v>
      </c>
      <c r="F391">
        <v>1.06</v>
      </c>
      <c r="G391">
        <v>1.1200000000000001</v>
      </c>
      <c r="H391">
        <v>1.1200000000000001</v>
      </c>
      <c r="I391">
        <v>1.1100000000000001</v>
      </c>
      <c r="J391">
        <v>1.1100000000000001</v>
      </c>
      <c r="K391">
        <v>1.1100000000000001</v>
      </c>
      <c r="L391">
        <v>1.1200000000000001</v>
      </c>
      <c r="M391">
        <v>1.1200000000000001</v>
      </c>
      <c r="N391">
        <v>1.1200000000000001</v>
      </c>
      <c r="O391">
        <v>1.1200000000000001</v>
      </c>
      <c r="P391">
        <v>1.1200000000000001</v>
      </c>
      <c r="Q391">
        <v>1.1200000000000001</v>
      </c>
      <c r="R391">
        <v>1.1200000000000001</v>
      </c>
      <c r="S391">
        <v>1.19</v>
      </c>
      <c r="T391">
        <v>1.19</v>
      </c>
      <c r="U391">
        <v>1.19</v>
      </c>
      <c r="V391">
        <v>1.2</v>
      </c>
      <c r="W391">
        <v>1.2</v>
      </c>
    </row>
    <row r="392" spans="1:23" x14ac:dyDescent="0.35">
      <c r="A392" s="2" t="s">
        <v>344</v>
      </c>
      <c r="B392">
        <v>2.79</v>
      </c>
      <c r="C392">
        <v>2.81</v>
      </c>
      <c r="D392">
        <v>2.83</v>
      </c>
      <c r="E392">
        <v>2.8</v>
      </c>
      <c r="F392">
        <v>2.85</v>
      </c>
      <c r="G392">
        <v>2.85</v>
      </c>
      <c r="H392">
        <v>2.85</v>
      </c>
      <c r="I392">
        <v>2.85</v>
      </c>
      <c r="J392">
        <v>2.84</v>
      </c>
      <c r="K392">
        <v>2.84</v>
      </c>
      <c r="L392">
        <v>2.79</v>
      </c>
      <c r="M392">
        <v>2.75</v>
      </c>
      <c r="N392">
        <v>2.8</v>
      </c>
      <c r="O392">
        <v>2.83</v>
      </c>
      <c r="P392">
        <v>2.84</v>
      </c>
      <c r="Q392">
        <v>2.72</v>
      </c>
      <c r="R392">
        <v>2.79</v>
      </c>
      <c r="S392">
        <v>2.81</v>
      </c>
      <c r="T392">
        <v>2.81</v>
      </c>
      <c r="U392">
        <v>2.92</v>
      </c>
      <c r="V392">
        <v>2.92</v>
      </c>
      <c r="W392">
        <v>2.93</v>
      </c>
    </row>
    <row r="393" spans="1:23" x14ac:dyDescent="0.35">
      <c r="A393" s="2" t="s">
        <v>835</v>
      </c>
      <c r="B393">
        <v>15.78</v>
      </c>
      <c r="C393">
        <v>15.61</v>
      </c>
      <c r="D393">
        <v>15.3</v>
      </c>
      <c r="E393">
        <v>15.66</v>
      </c>
      <c r="F393">
        <v>15.77</v>
      </c>
      <c r="G393">
        <v>15.35</v>
      </c>
      <c r="H393">
        <v>15.22</v>
      </c>
      <c r="I393">
        <v>15.16</v>
      </c>
      <c r="J393">
        <v>15.15</v>
      </c>
      <c r="K393">
        <v>14.71</v>
      </c>
      <c r="L393">
        <v>14.29</v>
      </c>
      <c r="M393">
        <v>14.29</v>
      </c>
      <c r="N393">
        <v>14.07</v>
      </c>
      <c r="O393">
        <v>13.88</v>
      </c>
      <c r="P393">
        <v>13.67</v>
      </c>
      <c r="Q393">
        <v>13.47</v>
      </c>
      <c r="R393">
        <v>13.2</v>
      </c>
      <c r="S393">
        <v>13.15</v>
      </c>
      <c r="T393">
        <v>13.19</v>
      </c>
      <c r="U393">
        <v>13.35</v>
      </c>
      <c r="V393">
        <v>13.11</v>
      </c>
      <c r="W393">
        <v>12.94</v>
      </c>
    </row>
    <row r="394" spans="1:23" x14ac:dyDescent="0.35">
      <c r="A394" s="2" t="s">
        <v>345</v>
      </c>
      <c r="B394">
        <v>17.739999999999998</v>
      </c>
      <c r="C394">
        <v>18.07</v>
      </c>
      <c r="D394">
        <v>18.21</v>
      </c>
      <c r="E394">
        <v>18.36</v>
      </c>
      <c r="F394">
        <v>18.57</v>
      </c>
      <c r="G394">
        <v>18.62</v>
      </c>
      <c r="H394">
        <v>18.739999999999998</v>
      </c>
      <c r="I394">
        <v>18.559999999999999</v>
      </c>
      <c r="J394">
        <v>18.46</v>
      </c>
      <c r="K394">
        <v>18.239999999999998</v>
      </c>
      <c r="L394">
        <v>18.37</v>
      </c>
      <c r="M394">
        <v>18.53</v>
      </c>
      <c r="N394">
        <v>18.2</v>
      </c>
      <c r="O394">
        <v>18.54</v>
      </c>
      <c r="P394">
        <v>17.88</v>
      </c>
      <c r="Q394">
        <v>18.190000000000001</v>
      </c>
      <c r="R394">
        <v>18.45</v>
      </c>
      <c r="S394">
        <v>18.46</v>
      </c>
      <c r="T394">
        <v>18.21</v>
      </c>
      <c r="U394">
        <v>17.72</v>
      </c>
      <c r="V394">
        <v>17.850000000000001</v>
      </c>
      <c r="W394">
        <v>18.88</v>
      </c>
    </row>
    <row r="395" spans="1:23" x14ac:dyDescent="0.35">
      <c r="A395" s="2" t="s">
        <v>346</v>
      </c>
      <c r="B395">
        <v>46.59</v>
      </c>
      <c r="C395">
        <v>46.92</v>
      </c>
      <c r="D395">
        <v>47.01</v>
      </c>
      <c r="E395">
        <v>47.57</v>
      </c>
      <c r="F395">
        <v>47.45</v>
      </c>
      <c r="G395">
        <v>47.39</v>
      </c>
      <c r="H395">
        <v>47.99</v>
      </c>
      <c r="I395">
        <v>48.31</v>
      </c>
      <c r="J395">
        <v>48.28</v>
      </c>
      <c r="K395">
        <v>48.4</v>
      </c>
      <c r="L395">
        <v>48.85</v>
      </c>
      <c r="M395">
        <v>48.64</v>
      </c>
      <c r="N395">
        <v>48.28</v>
      </c>
      <c r="O395">
        <v>48.4</v>
      </c>
      <c r="P395">
        <v>48.28</v>
      </c>
      <c r="Q395">
        <v>48.55</v>
      </c>
      <c r="R395">
        <v>48.46</v>
      </c>
      <c r="S395">
        <v>48.4</v>
      </c>
      <c r="T395">
        <v>48.17</v>
      </c>
      <c r="U395">
        <v>48.49</v>
      </c>
      <c r="V395">
        <v>48.31</v>
      </c>
      <c r="W395">
        <v>48.85</v>
      </c>
    </row>
    <row r="396" spans="1:23" x14ac:dyDescent="0.35">
      <c r="A396" s="2" t="s">
        <v>347</v>
      </c>
      <c r="B396">
        <v>10.07</v>
      </c>
      <c r="C396">
        <v>10.039999999999999</v>
      </c>
      <c r="D396">
        <v>10.06</v>
      </c>
      <c r="E396">
        <v>10.130000000000001</v>
      </c>
      <c r="F396">
        <v>10.26</v>
      </c>
      <c r="G396">
        <v>10.130000000000001</v>
      </c>
      <c r="H396">
        <v>10.17</v>
      </c>
      <c r="I396">
        <v>10.199999999999999</v>
      </c>
      <c r="J396">
        <v>10.31</v>
      </c>
      <c r="K396">
        <v>10.28</v>
      </c>
      <c r="L396">
        <v>10.41</v>
      </c>
      <c r="M396">
        <v>10.39</v>
      </c>
      <c r="N396">
        <v>10.43</v>
      </c>
      <c r="O396">
        <v>10.34</v>
      </c>
      <c r="P396">
        <v>10.45</v>
      </c>
      <c r="Q396">
        <v>10.29</v>
      </c>
      <c r="R396">
        <v>10.79</v>
      </c>
      <c r="S396">
        <v>10.64</v>
      </c>
      <c r="T396">
        <v>10.77</v>
      </c>
      <c r="U396">
        <v>10.68</v>
      </c>
      <c r="V396">
        <v>10.9</v>
      </c>
      <c r="W396">
        <v>10.84</v>
      </c>
    </row>
    <row r="397" spans="1:23" x14ac:dyDescent="0.35">
      <c r="A397" s="2" t="s">
        <v>348</v>
      </c>
      <c r="B397">
        <v>13.72</v>
      </c>
      <c r="C397">
        <v>13.93</v>
      </c>
      <c r="D397">
        <v>13.64</v>
      </c>
      <c r="E397">
        <v>13.86</v>
      </c>
      <c r="F397">
        <v>13.89</v>
      </c>
      <c r="G397">
        <v>13.94</v>
      </c>
      <c r="H397">
        <v>13.99</v>
      </c>
      <c r="I397">
        <v>13.86</v>
      </c>
      <c r="J397">
        <v>13.93</v>
      </c>
      <c r="K397">
        <v>13.5</v>
      </c>
      <c r="L397">
        <v>13.62</v>
      </c>
      <c r="M397">
        <v>13.43</v>
      </c>
      <c r="N397">
        <v>13.28</v>
      </c>
      <c r="O397">
        <v>13.82</v>
      </c>
      <c r="P397">
        <v>13.45</v>
      </c>
      <c r="Q397">
        <v>13.93</v>
      </c>
      <c r="R397">
        <v>14.01</v>
      </c>
      <c r="S397">
        <v>14.47</v>
      </c>
      <c r="T397">
        <v>14.54</v>
      </c>
      <c r="U397">
        <v>14.39</v>
      </c>
      <c r="V397">
        <v>13.8</v>
      </c>
      <c r="W397">
        <v>13.84</v>
      </c>
    </row>
    <row r="398" spans="1:23" x14ac:dyDescent="0.35">
      <c r="A398" s="2" t="s">
        <v>836</v>
      </c>
      <c r="B398">
        <v>10.35</v>
      </c>
      <c r="C398">
        <v>10.4</v>
      </c>
      <c r="D398">
        <v>10.39</v>
      </c>
      <c r="E398">
        <v>10.26</v>
      </c>
      <c r="F398">
        <v>10.23</v>
      </c>
      <c r="G398">
        <v>10.17</v>
      </c>
      <c r="H398">
        <v>10.19</v>
      </c>
      <c r="I398">
        <v>10.14</v>
      </c>
      <c r="J398">
        <v>10.15</v>
      </c>
      <c r="K398">
        <v>10.14</v>
      </c>
      <c r="L398">
        <v>10.1</v>
      </c>
      <c r="M398">
        <v>10.15</v>
      </c>
      <c r="N398">
        <v>10.11</v>
      </c>
      <c r="O398">
        <v>10.09</v>
      </c>
      <c r="P398">
        <v>10.130000000000001</v>
      </c>
      <c r="Q398">
        <v>10.18</v>
      </c>
      <c r="R398">
        <v>10.029999999999999</v>
      </c>
      <c r="S398">
        <v>10.11</v>
      </c>
      <c r="T398">
        <v>10.199999999999999</v>
      </c>
      <c r="U398">
        <v>10.15</v>
      </c>
      <c r="V398">
        <v>10.17</v>
      </c>
      <c r="W398">
        <v>10.17</v>
      </c>
    </row>
    <row r="399" spans="1:23" x14ac:dyDescent="0.35">
      <c r="A399" s="2" t="s">
        <v>349</v>
      </c>
      <c r="B399">
        <v>5.41</v>
      </c>
      <c r="C399">
        <v>5.4</v>
      </c>
      <c r="D399">
        <v>5.38</v>
      </c>
      <c r="E399">
        <v>5.25</v>
      </c>
      <c r="F399">
        <v>5.22</v>
      </c>
      <c r="G399">
        <v>5.22</v>
      </c>
      <c r="H399">
        <v>5.25</v>
      </c>
      <c r="I399">
        <v>5.21</v>
      </c>
      <c r="J399">
        <v>5.21</v>
      </c>
      <c r="K399">
        <v>5.2</v>
      </c>
      <c r="L399">
        <v>5.16</v>
      </c>
      <c r="M399">
        <v>5.22</v>
      </c>
      <c r="N399">
        <v>5.2</v>
      </c>
      <c r="O399">
        <v>5.2</v>
      </c>
      <c r="P399">
        <v>5.21</v>
      </c>
      <c r="Q399">
        <v>5.2</v>
      </c>
      <c r="R399">
        <v>5.05</v>
      </c>
      <c r="S399">
        <v>5.0599999999999996</v>
      </c>
      <c r="T399">
        <v>5.13</v>
      </c>
      <c r="U399">
        <v>5.12</v>
      </c>
      <c r="V399">
        <v>5.18</v>
      </c>
      <c r="W399">
        <v>5.21</v>
      </c>
    </row>
    <row r="400" spans="1:23" x14ac:dyDescent="0.35">
      <c r="A400" s="2" t="s">
        <v>350</v>
      </c>
      <c r="B400">
        <v>2.68</v>
      </c>
      <c r="C400">
        <v>2.72</v>
      </c>
      <c r="D400">
        <v>2.75</v>
      </c>
      <c r="E400">
        <v>2.73</v>
      </c>
      <c r="F400">
        <v>2.72</v>
      </c>
      <c r="G400">
        <v>2.7</v>
      </c>
      <c r="H400">
        <v>2.66</v>
      </c>
      <c r="I400">
        <v>2.67</v>
      </c>
      <c r="J400">
        <v>2.67</v>
      </c>
      <c r="K400">
        <v>2.68</v>
      </c>
      <c r="L400">
        <v>2.71</v>
      </c>
      <c r="M400">
        <v>2.7</v>
      </c>
      <c r="N400">
        <v>2.7</v>
      </c>
      <c r="O400">
        <v>2.67</v>
      </c>
      <c r="P400">
        <v>2.72</v>
      </c>
      <c r="Q400">
        <v>2.73</v>
      </c>
      <c r="R400">
        <v>2.74</v>
      </c>
      <c r="S400">
        <v>2.75</v>
      </c>
      <c r="T400">
        <v>2.77</v>
      </c>
      <c r="U400">
        <v>2.72</v>
      </c>
      <c r="V400">
        <v>2.69</v>
      </c>
      <c r="W400">
        <v>2.7</v>
      </c>
    </row>
    <row r="401" spans="1:23" x14ac:dyDescent="0.35">
      <c r="A401" s="2" t="s">
        <v>351</v>
      </c>
      <c r="B401">
        <v>0.97</v>
      </c>
      <c r="C401">
        <v>0.97</v>
      </c>
      <c r="D401">
        <v>0.97</v>
      </c>
      <c r="E401">
        <v>0.97</v>
      </c>
      <c r="F401">
        <v>0.99</v>
      </c>
      <c r="G401">
        <v>0.99</v>
      </c>
      <c r="H401">
        <v>0.99</v>
      </c>
      <c r="I401">
        <v>0.99</v>
      </c>
      <c r="J401">
        <v>0.99</v>
      </c>
      <c r="K401">
        <v>0.99</v>
      </c>
      <c r="L401">
        <v>0.99</v>
      </c>
      <c r="M401">
        <v>0.97</v>
      </c>
      <c r="N401">
        <v>0.98</v>
      </c>
      <c r="O401">
        <v>0.97</v>
      </c>
      <c r="P401">
        <v>0.95</v>
      </c>
      <c r="Q401">
        <v>0.98</v>
      </c>
      <c r="R401">
        <v>0.98</v>
      </c>
      <c r="S401">
        <v>1.01</v>
      </c>
      <c r="T401">
        <v>1</v>
      </c>
      <c r="U401">
        <v>0.99</v>
      </c>
      <c r="V401">
        <v>0.99</v>
      </c>
      <c r="W401">
        <v>1</v>
      </c>
    </row>
    <row r="402" spans="1:23" x14ac:dyDescent="0.35">
      <c r="A402" s="2" t="s">
        <v>837</v>
      </c>
      <c r="B402">
        <v>37.770000000000003</v>
      </c>
      <c r="C402">
        <v>37.68</v>
      </c>
      <c r="D402">
        <v>37.520000000000003</v>
      </c>
      <c r="E402">
        <v>37.74</v>
      </c>
      <c r="F402">
        <v>37.96</v>
      </c>
      <c r="G402">
        <v>38.51</v>
      </c>
      <c r="H402">
        <v>38.82</v>
      </c>
      <c r="I402">
        <v>39.07</v>
      </c>
      <c r="J402">
        <v>39.01</v>
      </c>
      <c r="K402">
        <v>38.880000000000003</v>
      </c>
      <c r="L402">
        <v>38.880000000000003</v>
      </c>
      <c r="M402">
        <v>38.57</v>
      </c>
      <c r="N402">
        <v>38.64</v>
      </c>
      <c r="O402">
        <v>38.6</v>
      </c>
      <c r="P402">
        <v>38.979999999999997</v>
      </c>
      <c r="Q402">
        <v>39.01</v>
      </c>
      <c r="R402">
        <v>39.130000000000003</v>
      </c>
      <c r="S402">
        <v>39.159999999999997</v>
      </c>
      <c r="T402">
        <v>39.53</v>
      </c>
      <c r="U402">
        <v>39.619999999999997</v>
      </c>
      <c r="V402">
        <v>39.409999999999997</v>
      </c>
      <c r="W402">
        <v>39.44</v>
      </c>
    </row>
    <row r="403" spans="1:23" x14ac:dyDescent="0.35">
      <c r="A403" s="2" t="s">
        <v>352</v>
      </c>
      <c r="B403">
        <v>6.22</v>
      </c>
      <c r="C403">
        <v>6.2</v>
      </c>
      <c r="D403">
        <v>6.31</v>
      </c>
      <c r="E403">
        <v>6.31</v>
      </c>
      <c r="F403">
        <v>6.33</v>
      </c>
      <c r="G403">
        <v>6.43</v>
      </c>
      <c r="H403">
        <v>6.44</v>
      </c>
      <c r="I403">
        <v>6.46</v>
      </c>
      <c r="J403">
        <v>6.5</v>
      </c>
      <c r="K403">
        <v>6.42</v>
      </c>
      <c r="L403">
        <v>6.51</v>
      </c>
      <c r="M403">
        <v>6.53</v>
      </c>
      <c r="N403">
        <v>6.53</v>
      </c>
      <c r="O403">
        <v>6.53</v>
      </c>
      <c r="P403">
        <v>6.55</v>
      </c>
      <c r="Q403">
        <v>6.52</v>
      </c>
      <c r="R403">
        <v>6.54</v>
      </c>
      <c r="S403">
        <v>6.54</v>
      </c>
      <c r="T403">
        <v>6.62</v>
      </c>
      <c r="U403">
        <v>6.58</v>
      </c>
      <c r="V403">
        <v>6.61</v>
      </c>
      <c r="W403">
        <v>6.67</v>
      </c>
    </row>
    <row r="404" spans="1:23" x14ac:dyDescent="0.35">
      <c r="A404" s="2" t="s">
        <v>353</v>
      </c>
      <c r="B404">
        <v>24.56</v>
      </c>
      <c r="C404">
        <v>25.05</v>
      </c>
      <c r="D404">
        <v>25.28</v>
      </c>
      <c r="E404">
        <v>25.3</v>
      </c>
      <c r="F404">
        <v>25.54</v>
      </c>
      <c r="G404">
        <v>25.81</v>
      </c>
      <c r="H404">
        <v>25.92</v>
      </c>
      <c r="I404">
        <v>26.07</v>
      </c>
      <c r="J404">
        <v>25.98</v>
      </c>
      <c r="K404">
        <v>25.96</v>
      </c>
      <c r="L404">
        <v>25.86</v>
      </c>
      <c r="M404">
        <v>25.98</v>
      </c>
      <c r="N404">
        <v>25.96</v>
      </c>
      <c r="O404">
        <v>26.09</v>
      </c>
      <c r="P404">
        <v>26.13</v>
      </c>
      <c r="Q404">
        <v>26.45</v>
      </c>
      <c r="R404">
        <v>26.82</v>
      </c>
      <c r="S404">
        <v>26.73</v>
      </c>
      <c r="T404">
        <v>26.79</v>
      </c>
      <c r="U404">
        <v>26.86</v>
      </c>
      <c r="V404">
        <v>27.09</v>
      </c>
      <c r="W404">
        <v>27.24</v>
      </c>
    </row>
    <row r="405" spans="1:23" x14ac:dyDescent="0.35">
      <c r="A405" s="2" t="s">
        <v>838</v>
      </c>
      <c r="B405">
        <v>6.41</v>
      </c>
      <c r="C405">
        <v>6.42</v>
      </c>
      <c r="D405">
        <v>6.42</v>
      </c>
      <c r="E405">
        <v>6.63</v>
      </c>
      <c r="F405">
        <v>6.63</v>
      </c>
      <c r="G405">
        <v>6.68</v>
      </c>
      <c r="H405">
        <v>6.69</v>
      </c>
      <c r="I405">
        <v>6.68</v>
      </c>
      <c r="J405">
        <v>6.78</v>
      </c>
      <c r="K405">
        <v>6.77</v>
      </c>
      <c r="L405">
        <v>6.8</v>
      </c>
      <c r="M405">
        <v>6.77</v>
      </c>
      <c r="N405">
        <v>6.69</v>
      </c>
      <c r="O405">
        <v>6.69</v>
      </c>
      <c r="P405">
        <v>6.75</v>
      </c>
      <c r="Q405">
        <v>6.73</v>
      </c>
      <c r="R405">
        <v>6.79</v>
      </c>
      <c r="S405">
        <v>6.82</v>
      </c>
      <c r="T405">
        <v>6.64</v>
      </c>
      <c r="U405">
        <v>6.64</v>
      </c>
      <c r="V405">
        <v>6.69</v>
      </c>
      <c r="W405">
        <v>6.64</v>
      </c>
    </row>
    <row r="406" spans="1:23" x14ac:dyDescent="0.35">
      <c r="A406" s="2" t="s">
        <v>354</v>
      </c>
      <c r="B406">
        <v>1.4</v>
      </c>
      <c r="C406">
        <v>1.43</v>
      </c>
      <c r="D406">
        <v>1.39</v>
      </c>
      <c r="E406">
        <v>1.39</v>
      </c>
      <c r="F406">
        <v>1.41</v>
      </c>
      <c r="G406">
        <v>1.39</v>
      </c>
      <c r="H406">
        <v>1.47</v>
      </c>
      <c r="I406">
        <v>1.5</v>
      </c>
      <c r="J406">
        <v>1.44</v>
      </c>
      <c r="K406">
        <v>1.47</v>
      </c>
      <c r="L406">
        <v>1.49</v>
      </c>
      <c r="M406">
        <v>1.43</v>
      </c>
      <c r="N406">
        <v>1.44</v>
      </c>
      <c r="O406">
        <v>1.46</v>
      </c>
      <c r="P406">
        <v>1.49</v>
      </c>
      <c r="Q406">
        <v>1.5</v>
      </c>
      <c r="R406">
        <v>1.45</v>
      </c>
      <c r="S406">
        <v>1.46</v>
      </c>
      <c r="T406">
        <v>1.49</v>
      </c>
      <c r="U406">
        <v>1.51</v>
      </c>
      <c r="V406">
        <v>1.47</v>
      </c>
      <c r="W406">
        <v>1.49</v>
      </c>
    </row>
    <row r="407" spans="1:23" x14ac:dyDescent="0.35">
      <c r="A407" s="2" t="s">
        <v>355</v>
      </c>
      <c r="B407">
        <v>12.91</v>
      </c>
      <c r="C407">
        <v>13.17</v>
      </c>
      <c r="D407">
        <v>13.44</v>
      </c>
      <c r="E407">
        <v>13.01</v>
      </c>
      <c r="F407">
        <v>13.23</v>
      </c>
      <c r="G407">
        <v>12.99</v>
      </c>
      <c r="H407">
        <v>13.14</v>
      </c>
      <c r="I407">
        <v>13.51</v>
      </c>
      <c r="J407">
        <v>13.43</v>
      </c>
      <c r="K407">
        <v>13.15</v>
      </c>
      <c r="L407">
        <v>13.23</v>
      </c>
      <c r="M407">
        <v>13.21</v>
      </c>
      <c r="N407">
        <v>13.34</v>
      </c>
      <c r="O407">
        <v>13.33</v>
      </c>
      <c r="P407">
        <v>13.33</v>
      </c>
      <c r="Q407">
        <v>13.48</v>
      </c>
      <c r="R407">
        <v>13.63</v>
      </c>
      <c r="S407">
        <v>13.75</v>
      </c>
      <c r="T407">
        <v>13.46</v>
      </c>
      <c r="U407">
        <v>13.51</v>
      </c>
      <c r="V407">
        <v>13.43</v>
      </c>
      <c r="W407">
        <v>13.46</v>
      </c>
    </row>
    <row r="408" spans="1:23" x14ac:dyDescent="0.35">
      <c r="A408" s="2" t="s">
        <v>356</v>
      </c>
      <c r="B408">
        <v>10.25</v>
      </c>
      <c r="C408">
        <v>10.39</v>
      </c>
      <c r="D408">
        <v>10.89</v>
      </c>
      <c r="E408">
        <v>11.46</v>
      </c>
      <c r="F408">
        <v>11.37</v>
      </c>
      <c r="G408">
        <v>11.32</v>
      </c>
      <c r="H408">
        <v>11.31</v>
      </c>
      <c r="I408">
        <v>11.41</v>
      </c>
      <c r="J408">
        <v>11.49</v>
      </c>
      <c r="K408">
        <v>11.44</v>
      </c>
      <c r="L408">
        <v>11.56</v>
      </c>
      <c r="M408">
        <v>11.54</v>
      </c>
      <c r="N408">
        <v>11.53</v>
      </c>
      <c r="O408">
        <v>11.45</v>
      </c>
      <c r="P408">
        <v>11.41</v>
      </c>
      <c r="Q408">
        <v>11.36</v>
      </c>
      <c r="R408">
        <v>11.19</v>
      </c>
      <c r="S408">
        <v>11.04</v>
      </c>
      <c r="T408">
        <v>10.65</v>
      </c>
      <c r="U408">
        <v>10.56</v>
      </c>
      <c r="V408">
        <v>10.33</v>
      </c>
      <c r="W408">
        <v>10.32</v>
      </c>
    </row>
    <row r="409" spans="1:23" x14ac:dyDescent="0.35">
      <c r="A409" s="2" t="s">
        <v>357</v>
      </c>
      <c r="B409">
        <v>0.35</v>
      </c>
      <c r="C409">
        <v>0.36</v>
      </c>
      <c r="D409">
        <v>0.36</v>
      </c>
      <c r="E409">
        <v>0.37</v>
      </c>
      <c r="F409">
        <v>0.38</v>
      </c>
      <c r="G409">
        <v>0.38</v>
      </c>
      <c r="H409">
        <v>0.38</v>
      </c>
      <c r="I409">
        <v>0.38</v>
      </c>
      <c r="J409">
        <v>0.38</v>
      </c>
      <c r="K409">
        <v>0.39</v>
      </c>
      <c r="L409">
        <v>0.39</v>
      </c>
      <c r="M409">
        <v>0.39</v>
      </c>
      <c r="N409">
        <v>0.38</v>
      </c>
      <c r="O409">
        <v>0.38</v>
      </c>
      <c r="P409">
        <v>0.38</v>
      </c>
      <c r="Q409">
        <v>0.37</v>
      </c>
      <c r="R409">
        <v>0.37</v>
      </c>
      <c r="S409">
        <v>0.37</v>
      </c>
      <c r="T409">
        <v>0.37</v>
      </c>
      <c r="U409">
        <v>0.37</v>
      </c>
      <c r="V409">
        <v>0.37</v>
      </c>
      <c r="W409">
        <v>0.37</v>
      </c>
    </row>
    <row r="410" spans="1:23" x14ac:dyDescent="0.35">
      <c r="A410" s="2" t="s">
        <v>358</v>
      </c>
      <c r="B410">
        <v>11.67</v>
      </c>
      <c r="C410">
        <v>11.89</v>
      </c>
      <c r="D410">
        <v>12.27</v>
      </c>
      <c r="E410">
        <v>12.28</v>
      </c>
      <c r="F410">
        <v>12.55</v>
      </c>
      <c r="G410">
        <v>12.45</v>
      </c>
      <c r="H410">
        <v>12.61</v>
      </c>
      <c r="I410">
        <v>12.6</v>
      </c>
      <c r="J410">
        <v>12.65</v>
      </c>
      <c r="K410">
        <v>12.53</v>
      </c>
      <c r="L410">
        <v>12.51</v>
      </c>
      <c r="M410">
        <v>12.39</v>
      </c>
      <c r="N410">
        <v>12.23</v>
      </c>
      <c r="O410">
        <v>12.08</v>
      </c>
      <c r="P410">
        <v>12.01</v>
      </c>
      <c r="Q410">
        <v>11.95</v>
      </c>
      <c r="R410">
        <v>11.85</v>
      </c>
      <c r="S410">
        <v>11.79</v>
      </c>
      <c r="T410">
        <v>11.8</v>
      </c>
      <c r="U410">
        <v>11.96</v>
      </c>
      <c r="V410">
        <v>11.85</v>
      </c>
      <c r="W410">
        <v>11.85</v>
      </c>
    </row>
    <row r="411" spans="1:23" x14ac:dyDescent="0.35">
      <c r="A411" s="2" t="s">
        <v>359</v>
      </c>
      <c r="B411">
        <v>4.47</v>
      </c>
      <c r="C411">
        <v>4.4400000000000004</v>
      </c>
      <c r="D411">
        <v>4.45</v>
      </c>
      <c r="E411">
        <v>4.5</v>
      </c>
      <c r="F411">
        <v>4.51</v>
      </c>
      <c r="G411">
        <v>4.51</v>
      </c>
      <c r="H411">
        <v>4.5</v>
      </c>
      <c r="I411">
        <v>4.51</v>
      </c>
      <c r="J411">
        <v>4.5</v>
      </c>
      <c r="K411">
        <v>4.53</v>
      </c>
      <c r="L411">
        <v>4.51</v>
      </c>
      <c r="M411">
        <v>4.54</v>
      </c>
      <c r="N411">
        <v>4.5599999999999996</v>
      </c>
      <c r="O411">
        <v>4.5599999999999996</v>
      </c>
      <c r="P411">
        <v>4.5599999999999996</v>
      </c>
      <c r="Q411">
        <v>4.5999999999999996</v>
      </c>
      <c r="R411">
        <v>4.5599999999999996</v>
      </c>
      <c r="S411">
        <v>4.57</v>
      </c>
      <c r="T411">
        <v>4.6100000000000003</v>
      </c>
      <c r="U411">
        <v>4.5999999999999996</v>
      </c>
      <c r="V411">
        <v>4.5999999999999996</v>
      </c>
      <c r="W411">
        <v>4.5999999999999996</v>
      </c>
    </row>
    <row r="412" spans="1:23" x14ac:dyDescent="0.35">
      <c r="A412" s="2" t="s">
        <v>360</v>
      </c>
      <c r="B412">
        <v>8.9600000000000009</v>
      </c>
      <c r="C412">
        <v>8.8699999999999992</v>
      </c>
      <c r="D412">
        <v>8.85</v>
      </c>
      <c r="E412">
        <v>8.8000000000000007</v>
      </c>
      <c r="F412">
        <v>8.8000000000000007</v>
      </c>
      <c r="G412">
        <v>8.8800000000000008</v>
      </c>
      <c r="H412">
        <v>8.8800000000000008</v>
      </c>
      <c r="I412">
        <v>9.0399999999999991</v>
      </c>
      <c r="J412">
        <v>9.09</v>
      </c>
      <c r="K412">
        <v>9.07</v>
      </c>
      <c r="L412">
        <v>9.11</v>
      </c>
      <c r="M412">
        <v>9.1199999999999992</v>
      </c>
      <c r="N412">
        <v>9.09</v>
      </c>
      <c r="O412">
        <v>8.94</v>
      </c>
      <c r="P412">
        <v>9.07</v>
      </c>
      <c r="Q412">
        <v>9.19</v>
      </c>
      <c r="R412">
        <v>9.24</v>
      </c>
      <c r="S412">
        <v>9.27</v>
      </c>
      <c r="T412">
        <v>9.3800000000000008</v>
      </c>
      <c r="U412">
        <v>9.4</v>
      </c>
      <c r="V412">
        <v>9.51</v>
      </c>
      <c r="W412">
        <v>9.49</v>
      </c>
    </row>
    <row r="413" spans="1:23" x14ac:dyDescent="0.35">
      <c r="A413" s="2" t="s">
        <v>361</v>
      </c>
      <c r="B413">
        <v>3.07</v>
      </c>
      <c r="C413">
        <v>3.24</v>
      </c>
      <c r="D413">
        <v>3.38</v>
      </c>
      <c r="E413">
        <v>3.58</v>
      </c>
      <c r="F413">
        <v>3.66</v>
      </c>
      <c r="G413">
        <v>3.61</v>
      </c>
      <c r="H413">
        <v>3.49</v>
      </c>
      <c r="I413">
        <v>3.32</v>
      </c>
      <c r="J413">
        <v>3.13</v>
      </c>
      <c r="K413">
        <v>3.07</v>
      </c>
      <c r="L413">
        <v>3.05</v>
      </c>
      <c r="M413">
        <v>3.02</v>
      </c>
      <c r="N413">
        <v>3.07</v>
      </c>
      <c r="O413">
        <v>3.07</v>
      </c>
      <c r="P413">
        <v>3.04</v>
      </c>
      <c r="Q413">
        <v>3.02</v>
      </c>
      <c r="R413">
        <v>2.95</v>
      </c>
      <c r="S413">
        <v>2.9</v>
      </c>
      <c r="T413">
        <v>2.87</v>
      </c>
      <c r="U413">
        <v>2.91</v>
      </c>
      <c r="V413">
        <v>2.96</v>
      </c>
      <c r="W413">
        <v>2.86</v>
      </c>
    </row>
    <row r="414" spans="1:23" x14ac:dyDescent="0.35">
      <c r="A414" s="2" t="s">
        <v>362</v>
      </c>
      <c r="B414">
        <v>0.02</v>
      </c>
      <c r="C414">
        <v>0.02</v>
      </c>
      <c r="D414">
        <v>0.02</v>
      </c>
      <c r="E414">
        <v>0.02</v>
      </c>
      <c r="F414">
        <v>0.02</v>
      </c>
      <c r="G414">
        <v>0.02</v>
      </c>
      <c r="H414">
        <v>0.02</v>
      </c>
      <c r="I414">
        <v>0.02</v>
      </c>
      <c r="J414">
        <v>0.02</v>
      </c>
      <c r="K414">
        <v>0.02</v>
      </c>
      <c r="L414">
        <v>0.02</v>
      </c>
      <c r="M414">
        <v>0.02</v>
      </c>
      <c r="N414">
        <v>0.02</v>
      </c>
      <c r="O414">
        <v>0.02</v>
      </c>
      <c r="P414">
        <v>0.02</v>
      </c>
      <c r="Q414">
        <v>0.02</v>
      </c>
      <c r="R414">
        <v>0.02</v>
      </c>
      <c r="S414">
        <v>0.02</v>
      </c>
      <c r="T414">
        <v>0.02</v>
      </c>
      <c r="U414">
        <v>0.02</v>
      </c>
      <c r="V414">
        <v>0.02</v>
      </c>
      <c r="W414">
        <v>0.02</v>
      </c>
    </row>
    <row r="415" spans="1:23" x14ac:dyDescent="0.35">
      <c r="A415" s="2" t="s">
        <v>363</v>
      </c>
      <c r="B415">
        <v>2.19</v>
      </c>
      <c r="C415">
        <v>2.2000000000000002</v>
      </c>
      <c r="D415">
        <v>2.25</v>
      </c>
      <c r="E415">
        <v>2.3199999999999998</v>
      </c>
      <c r="F415">
        <v>2.3199999999999998</v>
      </c>
      <c r="G415">
        <v>2.31</v>
      </c>
      <c r="H415">
        <v>2.34</v>
      </c>
      <c r="I415">
        <v>2.33</v>
      </c>
      <c r="J415">
        <v>2.37</v>
      </c>
      <c r="K415">
        <v>2.38</v>
      </c>
      <c r="L415">
        <v>2.38</v>
      </c>
      <c r="M415">
        <v>2.33</v>
      </c>
      <c r="N415">
        <v>2.3199999999999998</v>
      </c>
      <c r="O415">
        <v>2.31</v>
      </c>
      <c r="P415">
        <v>2.3199999999999998</v>
      </c>
      <c r="Q415">
        <v>2.33</v>
      </c>
      <c r="R415">
        <v>2.2999999999999998</v>
      </c>
      <c r="S415">
        <v>2.19</v>
      </c>
      <c r="T415">
        <v>2.1</v>
      </c>
      <c r="U415">
        <v>2.09</v>
      </c>
      <c r="V415">
        <v>2.04</v>
      </c>
      <c r="W415">
        <v>2.0299999999999998</v>
      </c>
    </row>
    <row r="416" spans="1:23" x14ac:dyDescent="0.35">
      <c r="A416" s="2" t="s">
        <v>364</v>
      </c>
      <c r="B416">
        <v>6.08</v>
      </c>
      <c r="C416">
        <v>6.14</v>
      </c>
      <c r="D416">
        <v>6.1</v>
      </c>
      <c r="E416">
        <v>6.07</v>
      </c>
      <c r="F416">
        <v>6.16</v>
      </c>
      <c r="G416">
        <v>6.11</v>
      </c>
      <c r="H416">
        <v>6.18</v>
      </c>
      <c r="I416">
        <v>6.21</v>
      </c>
      <c r="J416">
        <v>6.17</v>
      </c>
      <c r="K416">
        <v>6.16</v>
      </c>
      <c r="L416">
        <v>6.15</v>
      </c>
      <c r="M416">
        <v>6.09</v>
      </c>
      <c r="N416">
        <v>6.1</v>
      </c>
      <c r="O416">
        <v>6.11</v>
      </c>
      <c r="P416">
        <v>6.1</v>
      </c>
      <c r="Q416">
        <v>6.2</v>
      </c>
      <c r="R416">
        <v>6.42</v>
      </c>
      <c r="S416">
        <v>6.45</v>
      </c>
      <c r="T416">
        <v>6.43</v>
      </c>
      <c r="U416">
        <v>6.38</v>
      </c>
      <c r="V416">
        <v>6.42</v>
      </c>
      <c r="W416">
        <v>6.46</v>
      </c>
    </row>
    <row r="417" spans="1:23" x14ac:dyDescent="0.35">
      <c r="A417" s="2" t="s">
        <v>365</v>
      </c>
      <c r="B417">
        <v>41.26</v>
      </c>
      <c r="C417">
        <v>41.54</v>
      </c>
      <c r="D417">
        <v>41.59</v>
      </c>
      <c r="E417">
        <v>44.08</v>
      </c>
      <c r="F417">
        <v>43.37</v>
      </c>
      <c r="G417">
        <v>43.34</v>
      </c>
      <c r="H417">
        <v>42.99</v>
      </c>
      <c r="I417">
        <v>42.74</v>
      </c>
      <c r="J417">
        <v>42.44</v>
      </c>
      <c r="K417">
        <v>41.7</v>
      </c>
      <c r="L417">
        <v>41.04</v>
      </c>
      <c r="M417">
        <v>40.11</v>
      </c>
      <c r="N417">
        <v>40.17</v>
      </c>
      <c r="O417">
        <v>39.92</v>
      </c>
      <c r="P417">
        <v>40</v>
      </c>
      <c r="Q417">
        <v>40.090000000000003</v>
      </c>
      <c r="R417">
        <v>39.46</v>
      </c>
      <c r="S417">
        <v>38.28</v>
      </c>
      <c r="T417">
        <v>38.22</v>
      </c>
      <c r="U417">
        <v>37.76</v>
      </c>
      <c r="V417">
        <v>37.020000000000003</v>
      </c>
      <c r="W417">
        <v>36.99</v>
      </c>
    </row>
    <row r="418" spans="1:23" x14ac:dyDescent="0.35">
      <c r="A418" s="2" t="s">
        <v>839</v>
      </c>
      <c r="B418">
        <v>183.25</v>
      </c>
      <c r="C418">
        <v>183.8</v>
      </c>
      <c r="D418">
        <v>185.59</v>
      </c>
      <c r="E418">
        <v>189.02</v>
      </c>
      <c r="F418">
        <v>191.22</v>
      </c>
      <c r="G418">
        <v>196.85</v>
      </c>
      <c r="H418">
        <v>198.5</v>
      </c>
      <c r="I418">
        <v>199.05</v>
      </c>
      <c r="J418">
        <v>199.32</v>
      </c>
      <c r="K418">
        <v>203.31</v>
      </c>
      <c r="L418">
        <v>203.17</v>
      </c>
      <c r="M418">
        <v>202.35</v>
      </c>
      <c r="N418">
        <v>202.48</v>
      </c>
      <c r="O418">
        <v>201.52</v>
      </c>
      <c r="P418">
        <v>200.56</v>
      </c>
      <c r="Q418">
        <v>199.87</v>
      </c>
      <c r="R418">
        <v>198.5</v>
      </c>
      <c r="S418">
        <v>198.22</v>
      </c>
      <c r="T418">
        <v>197.26</v>
      </c>
      <c r="U418">
        <v>194.24</v>
      </c>
      <c r="V418">
        <v>193.14</v>
      </c>
      <c r="W418">
        <v>195.34</v>
      </c>
    </row>
    <row r="419" spans="1:23" x14ac:dyDescent="0.35">
      <c r="A419" s="2" t="s">
        <v>366</v>
      </c>
      <c r="B419">
        <v>62.25</v>
      </c>
      <c r="C419">
        <v>61.49</v>
      </c>
      <c r="D419">
        <v>62.57</v>
      </c>
      <c r="E419">
        <v>64.33</v>
      </c>
      <c r="F419">
        <v>64.53</v>
      </c>
      <c r="G419">
        <v>67.849999999999994</v>
      </c>
      <c r="H419">
        <v>68.45</v>
      </c>
      <c r="I419">
        <v>68.650000000000006</v>
      </c>
      <c r="J419">
        <v>68.69</v>
      </c>
      <c r="K419">
        <v>68.849999999999994</v>
      </c>
      <c r="L419">
        <v>68.209999999999994</v>
      </c>
      <c r="M419">
        <v>67.89</v>
      </c>
      <c r="N419">
        <v>67.930000000000007</v>
      </c>
      <c r="O419">
        <v>67.89</v>
      </c>
      <c r="P419">
        <v>68.290000000000006</v>
      </c>
      <c r="Q419">
        <v>68.37</v>
      </c>
      <c r="R419">
        <v>68.09</v>
      </c>
      <c r="S419">
        <v>68.13</v>
      </c>
      <c r="T419">
        <v>67.489999999999995</v>
      </c>
      <c r="U419">
        <v>67.17</v>
      </c>
      <c r="V419">
        <v>67.209999999999994</v>
      </c>
      <c r="W419">
        <v>68.25</v>
      </c>
    </row>
    <row r="420" spans="1:23" x14ac:dyDescent="0.35">
      <c r="A420" s="2" t="s">
        <v>367</v>
      </c>
      <c r="B420">
        <v>5.59</v>
      </c>
      <c r="C420">
        <v>5.59</v>
      </c>
      <c r="D420">
        <v>5.65</v>
      </c>
      <c r="E420">
        <v>5.7</v>
      </c>
      <c r="F420">
        <v>5.7</v>
      </c>
      <c r="G420">
        <v>5.67</v>
      </c>
      <c r="H420">
        <v>5.68</v>
      </c>
      <c r="I420">
        <v>5.7</v>
      </c>
      <c r="J420">
        <v>5.59</v>
      </c>
      <c r="K420">
        <v>5.6</v>
      </c>
      <c r="L420">
        <v>5.68</v>
      </c>
      <c r="M420">
        <v>5.49</v>
      </c>
      <c r="N420">
        <v>5.48</v>
      </c>
      <c r="O420">
        <v>5.45</v>
      </c>
      <c r="P420">
        <v>5.18</v>
      </c>
      <c r="Q420">
        <v>5.15</v>
      </c>
      <c r="R420">
        <v>5.14</v>
      </c>
      <c r="S420">
        <v>5.17</v>
      </c>
      <c r="T420">
        <v>5.13</v>
      </c>
      <c r="U420">
        <v>5.13</v>
      </c>
      <c r="V420">
        <v>5.0199999999999996</v>
      </c>
      <c r="W420">
        <v>5.22</v>
      </c>
    </row>
    <row r="421" spans="1:23" x14ac:dyDescent="0.35">
      <c r="A421" s="2" t="s">
        <v>840</v>
      </c>
      <c r="B421">
        <v>58.35</v>
      </c>
      <c r="C421">
        <v>59.85</v>
      </c>
      <c r="D421">
        <v>60.58</v>
      </c>
      <c r="E421">
        <v>60.96</v>
      </c>
      <c r="F421">
        <v>60.88</v>
      </c>
      <c r="G421">
        <v>61.86</v>
      </c>
      <c r="H421">
        <v>62.29</v>
      </c>
      <c r="I421">
        <v>62.51</v>
      </c>
      <c r="J421">
        <v>62.33</v>
      </c>
      <c r="K421">
        <v>61.91</v>
      </c>
      <c r="L421">
        <v>61.91</v>
      </c>
      <c r="M421">
        <v>61.61</v>
      </c>
      <c r="N421">
        <v>60.66</v>
      </c>
      <c r="O421">
        <v>60.28</v>
      </c>
      <c r="P421">
        <v>60.02</v>
      </c>
      <c r="Q421">
        <v>58.52</v>
      </c>
      <c r="R421">
        <v>58.18</v>
      </c>
      <c r="S421">
        <v>57.41</v>
      </c>
      <c r="T421">
        <v>56.59</v>
      </c>
      <c r="U421">
        <v>56.94</v>
      </c>
      <c r="V421">
        <v>56.89</v>
      </c>
      <c r="W421">
        <v>56.98</v>
      </c>
    </row>
    <row r="422" spans="1:23" x14ac:dyDescent="0.35">
      <c r="A422" s="2" t="s">
        <v>368</v>
      </c>
      <c r="B422">
        <v>9.2899999999999991</v>
      </c>
      <c r="C422">
        <v>9.33</v>
      </c>
      <c r="D422">
        <v>9.41</v>
      </c>
      <c r="E422">
        <v>9.7100000000000009</v>
      </c>
      <c r="F422">
        <v>9.7899999999999991</v>
      </c>
      <c r="G422">
        <v>9.86</v>
      </c>
      <c r="H422">
        <v>9.84</v>
      </c>
      <c r="I422">
        <v>9.82</v>
      </c>
      <c r="J422">
        <v>10</v>
      </c>
      <c r="K422">
        <v>9.94</v>
      </c>
      <c r="L422">
        <v>9.7899999999999991</v>
      </c>
      <c r="M422">
        <v>9.7200000000000006</v>
      </c>
      <c r="N422">
        <v>9.7899999999999991</v>
      </c>
      <c r="O422">
        <v>9.74</v>
      </c>
      <c r="P422">
        <v>9.64</v>
      </c>
      <c r="Q422">
        <v>9.6</v>
      </c>
      <c r="R422">
        <v>9.5500000000000007</v>
      </c>
      <c r="S422">
        <v>9.49</v>
      </c>
      <c r="T422">
        <v>9.44</v>
      </c>
      <c r="U422">
        <v>9.4499999999999993</v>
      </c>
      <c r="V422">
        <v>9.4700000000000006</v>
      </c>
      <c r="W422">
        <v>9.52</v>
      </c>
    </row>
    <row r="423" spans="1:23" x14ac:dyDescent="0.35">
      <c r="A423" s="2" t="s">
        <v>369</v>
      </c>
      <c r="B423">
        <v>2.81</v>
      </c>
      <c r="C423">
        <v>2.8</v>
      </c>
      <c r="D423">
        <v>2.81</v>
      </c>
      <c r="E423">
        <v>2.83</v>
      </c>
      <c r="F423">
        <v>2.82</v>
      </c>
      <c r="G423">
        <v>2.82</v>
      </c>
      <c r="H423">
        <v>2.81</v>
      </c>
      <c r="I423">
        <v>2.82</v>
      </c>
      <c r="J423">
        <v>2.83</v>
      </c>
      <c r="K423">
        <v>2.83</v>
      </c>
      <c r="L423">
        <v>2.83</v>
      </c>
      <c r="M423">
        <v>2.83</v>
      </c>
      <c r="N423">
        <v>2.84</v>
      </c>
      <c r="O423">
        <v>2.83</v>
      </c>
      <c r="P423">
        <v>2.82</v>
      </c>
      <c r="Q423">
        <v>2.82</v>
      </c>
      <c r="R423">
        <v>2.81</v>
      </c>
      <c r="S423">
        <v>2.82</v>
      </c>
      <c r="T423">
        <v>2.82</v>
      </c>
      <c r="U423">
        <v>2.82</v>
      </c>
      <c r="V423">
        <v>2.82</v>
      </c>
      <c r="W423">
        <v>2.83</v>
      </c>
    </row>
    <row r="424" spans="1:23" x14ac:dyDescent="0.35">
      <c r="A424" s="2" t="s">
        <v>370</v>
      </c>
      <c r="B424">
        <v>11.36</v>
      </c>
      <c r="C424">
        <v>11.46</v>
      </c>
      <c r="D424">
        <v>11.68</v>
      </c>
      <c r="E424">
        <v>11.96</v>
      </c>
      <c r="F424">
        <v>12.06</v>
      </c>
      <c r="G424">
        <v>12.14</v>
      </c>
      <c r="H424">
        <v>12.17</v>
      </c>
      <c r="I424">
        <v>12.17</v>
      </c>
      <c r="J424">
        <v>12.17</v>
      </c>
      <c r="K424">
        <v>12.21</v>
      </c>
      <c r="L424">
        <v>12.2</v>
      </c>
      <c r="M424">
        <v>12.21</v>
      </c>
      <c r="N424">
        <v>12.21</v>
      </c>
      <c r="O424">
        <v>12.2</v>
      </c>
      <c r="P424">
        <v>12.2</v>
      </c>
      <c r="Q424">
        <v>12.25</v>
      </c>
      <c r="R424">
        <v>12.25</v>
      </c>
      <c r="S424">
        <v>12.32</v>
      </c>
      <c r="T424">
        <v>12.32</v>
      </c>
      <c r="U424">
        <v>12.33</v>
      </c>
      <c r="V424">
        <v>12.33</v>
      </c>
      <c r="W424">
        <v>12.33</v>
      </c>
    </row>
    <row r="425" spans="1:23" x14ac:dyDescent="0.35">
      <c r="A425" s="2" t="s">
        <v>841</v>
      </c>
      <c r="B425">
        <v>91.25</v>
      </c>
      <c r="C425">
        <v>92.12</v>
      </c>
      <c r="D425">
        <v>94.07</v>
      </c>
      <c r="E425">
        <v>95.67</v>
      </c>
      <c r="F425">
        <v>96.28</v>
      </c>
      <c r="G425">
        <v>96.68</v>
      </c>
      <c r="H425">
        <v>97.01</v>
      </c>
      <c r="I425">
        <v>96.01</v>
      </c>
      <c r="J425">
        <v>95.74</v>
      </c>
      <c r="K425">
        <v>95.94</v>
      </c>
      <c r="L425">
        <v>95.07</v>
      </c>
      <c r="M425">
        <v>94.47</v>
      </c>
      <c r="N425">
        <v>93.6</v>
      </c>
      <c r="O425">
        <v>92.59</v>
      </c>
      <c r="P425">
        <v>92.79</v>
      </c>
      <c r="Q425">
        <v>92.06</v>
      </c>
      <c r="R425">
        <v>91.39</v>
      </c>
      <c r="S425">
        <v>90.38</v>
      </c>
      <c r="T425">
        <v>89.85</v>
      </c>
      <c r="U425">
        <v>89.91</v>
      </c>
      <c r="V425">
        <v>89.78</v>
      </c>
      <c r="W425">
        <v>89.65</v>
      </c>
    </row>
    <row r="426" spans="1:23" x14ac:dyDescent="0.35">
      <c r="A426" s="2" t="s">
        <v>371</v>
      </c>
      <c r="B426">
        <v>11.34</v>
      </c>
      <c r="C426">
        <v>11.76</v>
      </c>
      <c r="D426">
        <v>12.11</v>
      </c>
      <c r="E426">
        <v>12.21</v>
      </c>
      <c r="F426">
        <v>12.45</v>
      </c>
      <c r="G426">
        <v>12.16</v>
      </c>
      <c r="H426">
        <v>11.75</v>
      </c>
      <c r="I426">
        <v>11.35</v>
      </c>
      <c r="J426">
        <v>11.32</v>
      </c>
      <c r="K426">
        <v>11.2</v>
      </c>
      <c r="L426">
        <v>10.64</v>
      </c>
      <c r="M426">
        <v>10.92</v>
      </c>
      <c r="N426">
        <v>10.63</v>
      </c>
      <c r="O426">
        <v>10.65</v>
      </c>
      <c r="P426">
        <v>10.8</v>
      </c>
      <c r="Q426">
        <v>10.79</v>
      </c>
      <c r="R426">
        <v>10.95</v>
      </c>
      <c r="S426">
        <v>10.85</v>
      </c>
      <c r="T426">
        <v>10.57</v>
      </c>
      <c r="U426">
        <v>10.9</v>
      </c>
      <c r="V426">
        <v>10.7</v>
      </c>
      <c r="W426">
        <v>10.59</v>
      </c>
    </row>
    <row r="427" spans="1:23" x14ac:dyDescent="0.35">
      <c r="A427" s="2" t="s">
        <v>372</v>
      </c>
      <c r="B427">
        <v>3.81</v>
      </c>
      <c r="C427">
        <v>3.72</v>
      </c>
      <c r="D427">
        <v>3.87</v>
      </c>
      <c r="E427">
        <v>4.09</v>
      </c>
      <c r="F427">
        <v>4.1500000000000004</v>
      </c>
      <c r="G427">
        <v>4.07</v>
      </c>
      <c r="H427">
        <v>4.03</v>
      </c>
      <c r="I427">
        <v>4</v>
      </c>
      <c r="J427">
        <v>4.26</v>
      </c>
      <c r="K427">
        <v>4.5599999999999996</v>
      </c>
      <c r="L427">
        <v>4.8099999999999996</v>
      </c>
      <c r="M427">
        <v>4.41</v>
      </c>
      <c r="N427">
        <v>4.13</v>
      </c>
      <c r="O427">
        <v>4.03</v>
      </c>
      <c r="P427">
        <v>4.03</v>
      </c>
      <c r="Q427">
        <v>3.81</v>
      </c>
      <c r="R427">
        <v>3.73</v>
      </c>
      <c r="S427">
        <v>3.79</v>
      </c>
      <c r="T427">
        <v>3.74</v>
      </c>
      <c r="U427">
        <v>3.81</v>
      </c>
      <c r="V427">
        <v>3.79</v>
      </c>
      <c r="W427">
        <v>3.85</v>
      </c>
    </row>
    <row r="428" spans="1:23" x14ac:dyDescent="0.35">
      <c r="A428" s="2" t="s">
        <v>373</v>
      </c>
      <c r="B428">
        <v>11.25</v>
      </c>
      <c r="C428">
        <v>11.22</v>
      </c>
      <c r="D428">
        <v>11.44</v>
      </c>
      <c r="E428">
        <v>11.44</v>
      </c>
      <c r="F428">
        <v>11.28</v>
      </c>
      <c r="G428">
        <v>11.21</v>
      </c>
      <c r="H428">
        <v>11.18</v>
      </c>
      <c r="I428">
        <v>10.91</v>
      </c>
      <c r="J428">
        <v>10.74</v>
      </c>
      <c r="K428">
        <v>10.64</v>
      </c>
      <c r="L428">
        <v>10.49</v>
      </c>
      <c r="M428">
        <v>10.41</v>
      </c>
      <c r="N428">
        <v>10.19</v>
      </c>
      <c r="O428">
        <v>9.57</v>
      </c>
      <c r="P428">
        <v>9.73</v>
      </c>
      <c r="Q428">
        <v>9.59</v>
      </c>
      <c r="R428">
        <v>9.51</v>
      </c>
      <c r="S428">
        <v>9.16</v>
      </c>
      <c r="T428">
        <v>9.65</v>
      </c>
      <c r="U428">
        <v>9.5299999999999994</v>
      </c>
      <c r="V428">
        <v>9.64</v>
      </c>
      <c r="W428">
        <v>9.7899999999999991</v>
      </c>
    </row>
    <row r="429" spans="1:23" x14ac:dyDescent="0.35">
      <c r="A429" s="2" t="s">
        <v>374</v>
      </c>
      <c r="B429">
        <v>1</v>
      </c>
      <c r="C429">
        <v>1.05</v>
      </c>
      <c r="D429">
        <v>1.01</v>
      </c>
      <c r="E429">
        <v>1.04</v>
      </c>
      <c r="F429">
        <v>1.07</v>
      </c>
      <c r="G429">
        <v>1.08</v>
      </c>
      <c r="H429">
        <v>1.08</v>
      </c>
      <c r="I429">
        <v>0.98</v>
      </c>
      <c r="J429">
        <v>0.87</v>
      </c>
      <c r="K429">
        <v>0.93</v>
      </c>
      <c r="L429">
        <v>0.89</v>
      </c>
      <c r="M429">
        <v>0.9</v>
      </c>
      <c r="N429">
        <v>0.9</v>
      </c>
      <c r="O429">
        <v>0.88</v>
      </c>
      <c r="P429">
        <v>0.88</v>
      </c>
      <c r="Q429">
        <v>0.88</v>
      </c>
      <c r="R429">
        <v>0.87</v>
      </c>
      <c r="S429">
        <v>0.83</v>
      </c>
      <c r="T429">
        <v>0.87</v>
      </c>
      <c r="U429">
        <v>0.85</v>
      </c>
      <c r="V429">
        <v>0.87</v>
      </c>
      <c r="W429">
        <v>0.88</v>
      </c>
    </row>
    <row r="430" spans="1:23" x14ac:dyDescent="0.35">
      <c r="A430" s="2" t="s">
        <v>375</v>
      </c>
      <c r="B430">
        <v>20.91</v>
      </c>
      <c r="C430">
        <v>22.09</v>
      </c>
      <c r="D430">
        <v>20.91</v>
      </c>
      <c r="E430">
        <v>20.78</v>
      </c>
      <c r="F430">
        <v>20.78</v>
      </c>
      <c r="G430">
        <v>20.78</v>
      </c>
      <c r="H430">
        <v>20.78</v>
      </c>
      <c r="I430">
        <v>20.78</v>
      </c>
      <c r="J430">
        <v>20.71</v>
      </c>
      <c r="K430">
        <v>20.78</v>
      </c>
      <c r="L430">
        <v>20.78</v>
      </c>
      <c r="M430">
        <v>20.190000000000001</v>
      </c>
      <c r="N430">
        <v>20.07</v>
      </c>
      <c r="O430">
        <v>20.07</v>
      </c>
      <c r="P430">
        <v>20.65</v>
      </c>
      <c r="Q430">
        <v>20.07</v>
      </c>
      <c r="R430">
        <v>20.420000000000002</v>
      </c>
      <c r="S430">
        <v>20.56</v>
      </c>
      <c r="T430">
        <v>19.84</v>
      </c>
      <c r="U430">
        <v>20.420000000000002</v>
      </c>
      <c r="V430">
        <v>20.420000000000002</v>
      </c>
      <c r="W430">
        <v>19.91</v>
      </c>
    </row>
    <row r="431" spans="1:23" x14ac:dyDescent="0.35">
      <c r="A431" s="2" t="s">
        <v>376</v>
      </c>
      <c r="B431">
        <v>1.61</v>
      </c>
      <c r="C431">
        <v>1.65</v>
      </c>
      <c r="D431">
        <v>1.7</v>
      </c>
      <c r="E431">
        <v>1.73</v>
      </c>
      <c r="F431">
        <v>1.73</v>
      </c>
      <c r="G431">
        <v>1.74</v>
      </c>
      <c r="H431">
        <v>1.61</v>
      </c>
      <c r="I431">
        <v>1.62</v>
      </c>
      <c r="J431">
        <v>1.63</v>
      </c>
      <c r="K431">
        <v>1.64</v>
      </c>
      <c r="L431">
        <v>1.65</v>
      </c>
      <c r="M431">
        <v>1.67</v>
      </c>
      <c r="N431">
        <v>1.69</v>
      </c>
      <c r="O431">
        <v>1.71</v>
      </c>
      <c r="P431">
        <v>1.72</v>
      </c>
      <c r="Q431">
        <v>1.74</v>
      </c>
      <c r="R431">
        <v>1.75</v>
      </c>
      <c r="S431">
        <v>1.77</v>
      </c>
      <c r="T431">
        <v>1.77</v>
      </c>
      <c r="U431">
        <v>1.8</v>
      </c>
      <c r="V431">
        <v>1.83</v>
      </c>
      <c r="W431">
        <v>2.0499999999999998</v>
      </c>
    </row>
    <row r="432" spans="1:23" x14ac:dyDescent="0.35">
      <c r="A432" s="2" t="s">
        <v>377</v>
      </c>
      <c r="B432">
        <v>1.85</v>
      </c>
      <c r="C432">
        <v>1.87</v>
      </c>
      <c r="D432">
        <v>1.88</v>
      </c>
      <c r="E432">
        <v>1.99</v>
      </c>
      <c r="F432">
        <v>1.99</v>
      </c>
      <c r="G432">
        <v>1.98</v>
      </c>
      <c r="H432">
        <v>1.99</v>
      </c>
      <c r="I432">
        <v>1.99</v>
      </c>
      <c r="J432">
        <v>1.99</v>
      </c>
      <c r="K432">
        <v>2</v>
      </c>
      <c r="L432">
        <v>1.99</v>
      </c>
      <c r="M432">
        <v>1.99</v>
      </c>
      <c r="N432">
        <v>2.0099999999999998</v>
      </c>
      <c r="O432">
        <v>2</v>
      </c>
      <c r="P432">
        <v>1.99</v>
      </c>
      <c r="Q432">
        <v>2</v>
      </c>
      <c r="R432">
        <v>2</v>
      </c>
      <c r="S432">
        <v>1.99</v>
      </c>
      <c r="T432">
        <v>1.99</v>
      </c>
      <c r="U432">
        <v>1.99</v>
      </c>
      <c r="V432">
        <v>1.99</v>
      </c>
      <c r="W432">
        <v>2</v>
      </c>
    </row>
    <row r="433" spans="1:23" x14ac:dyDescent="0.35">
      <c r="A433" s="2" t="s">
        <v>378</v>
      </c>
      <c r="B433">
        <v>22.35</v>
      </c>
      <c r="C433">
        <v>22.17</v>
      </c>
      <c r="D433">
        <v>22.27</v>
      </c>
      <c r="E433">
        <v>22.27</v>
      </c>
      <c r="F433">
        <v>22.39</v>
      </c>
      <c r="G433">
        <v>22.7</v>
      </c>
      <c r="H433">
        <v>22.66</v>
      </c>
      <c r="I433">
        <v>22.81</v>
      </c>
      <c r="J433">
        <v>22.78</v>
      </c>
      <c r="K433">
        <v>22.93</v>
      </c>
      <c r="L433">
        <v>22.99</v>
      </c>
      <c r="M433">
        <v>23.05</v>
      </c>
      <c r="N433">
        <v>23.2</v>
      </c>
      <c r="O433">
        <v>23.48</v>
      </c>
      <c r="P433">
        <v>23.16</v>
      </c>
      <c r="Q433">
        <v>23.09</v>
      </c>
      <c r="R433">
        <v>23.09</v>
      </c>
      <c r="S433">
        <v>22.74</v>
      </c>
      <c r="T433">
        <v>22.68</v>
      </c>
      <c r="U433">
        <v>22.76</v>
      </c>
      <c r="V433">
        <v>22.76</v>
      </c>
      <c r="W433">
        <v>22.7</v>
      </c>
    </row>
    <row r="434" spans="1:23" x14ac:dyDescent="0.35">
      <c r="A434" s="2" t="s">
        <v>379</v>
      </c>
      <c r="B434">
        <v>4.3899999999999997</v>
      </c>
      <c r="C434">
        <v>4.4000000000000004</v>
      </c>
      <c r="D434">
        <v>4.49</v>
      </c>
      <c r="E434">
        <v>4.54</v>
      </c>
      <c r="F434">
        <v>4.72</v>
      </c>
      <c r="G434">
        <v>4.6100000000000003</v>
      </c>
      <c r="H434">
        <v>4.6399999999999997</v>
      </c>
      <c r="I434">
        <v>4.6500000000000004</v>
      </c>
      <c r="J434">
        <v>4.68</v>
      </c>
      <c r="K434">
        <v>4.72</v>
      </c>
      <c r="L434">
        <v>4.72</v>
      </c>
      <c r="M434">
        <v>4.79</v>
      </c>
      <c r="N434">
        <v>4.78</v>
      </c>
      <c r="O434">
        <v>4.78</v>
      </c>
      <c r="P434">
        <v>4.8499999999999996</v>
      </c>
      <c r="Q434">
        <v>4.8499999999999996</v>
      </c>
      <c r="R434">
        <v>4.83</v>
      </c>
      <c r="S434">
        <v>4.7</v>
      </c>
      <c r="T434">
        <v>4.71</v>
      </c>
      <c r="U434">
        <v>4.7</v>
      </c>
      <c r="V434">
        <v>4.7</v>
      </c>
      <c r="W434">
        <v>4.68</v>
      </c>
    </row>
    <row r="435" spans="1:23" x14ac:dyDescent="0.35">
      <c r="A435" s="2" t="s">
        <v>380</v>
      </c>
      <c r="B435">
        <v>11.68</v>
      </c>
      <c r="C435">
        <v>11.68</v>
      </c>
      <c r="D435">
        <v>11.68</v>
      </c>
      <c r="E435">
        <v>12.16</v>
      </c>
      <c r="F435">
        <v>12.16</v>
      </c>
      <c r="G435">
        <v>12.16</v>
      </c>
      <c r="H435">
        <v>13.25</v>
      </c>
      <c r="I435">
        <v>13.25</v>
      </c>
      <c r="J435">
        <v>13.25</v>
      </c>
      <c r="K435">
        <v>13.25</v>
      </c>
      <c r="L435">
        <v>13.25</v>
      </c>
      <c r="M435">
        <v>13.25</v>
      </c>
      <c r="N435">
        <v>13.25</v>
      </c>
      <c r="O435">
        <v>13.25</v>
      </c>
      <c r="P435">
        <v>13.25</v>
      </c>
      <c r="Q435">
        <v>13.76</v>
      </c>
      <c r="R435">
        <v>13.76</v>
      </c>
      <c r="S435">
        <v>13.76</v>
      </c>
      <c r="T435">
        <v>13.66</v>
      </c>
      <c r="U435">
        <v>13.66</v>
      </c>
      <c r="V435">
        <v>13.66</v>
      </c>
      <c r="W435">
        <v>13.66</v>
      </c>
    </row>
    <row r="436" spans="1:23" x14ac:dyDescent="0.35">
      <c r="A436" s="2" t="s">
        <v>381</v>
      </c>
      <c r="B436">
        <v>2.09</v>
      </c>
      <c r="C436">
        <v>2.09</v>
      </c>
      <c r="D436">
        <v>2.14</v>
      </c>
      <c r="E436">
        <v>2.15</v>
      </c>
      <c r="F436">
        <v>2.14</v>
      </c>
      <c r="G436">
        <v>2.14</v>
      </c>
      <c r="H436">
        <v>2.14</v>
      </c>
      <c r="I436">
        <v>2.13</v>
      </c>
      <c r="J436">
        <v>2.12</v>
      </c>
      <c r="K436">
        <v>2.13</v>
      </c>
      <c r="L436">
        <v>2.12</v>
      </c>
      <c r="M436">
        <v>2.16</v>
      </c>
      <c r="N436">
        <v>2.2000000000000002</v>
      </c>
      <c r="O436">
        <v>2.15</v>
      </c>
      <c r="P436">
        <v>2.19</v>
      </c>
      <c r="Q436">
        <v>2.17</v>
      </c>
      <c r="R436">
        <v>2.2000000000000002</v>
      </c>
      <c r="S436">
        <v>2.16</v>
      </c>
      <c r="T436">
        <v>2.2000000000000002</v>
      </c>
      <c r="U436">
        <v>2.2200000000000002</v>
      </c>
      <c r="V436">
        <v>2.25</v>
      </c>
      <c r="W436">
        <v>2.2599999999999998</v>
      </c>
    </row>
    <row r="437" spans="1:23" x14ac:dyDescent="0.35">
      <c r="A437" s="2" t="s">
        <v>382</v>
      </c>
      <c r="B437">
        <v>1.0900000000000001</v>
      </c>
      <c r="C437">
        <v>1.1000000000000001</v>
      </c>
      <c r="D437">
        <v>1.1000000000000001</v>
      </c>
      <c r="E437">
        <v>1.1000000000000001</v>
      </c>
      <c r="F437">
        <v>1.1100000000000001</v>
      </c>
      <c r="G437">
        <v>1.1000000000000001</v>
      </c>
      <c r="H437">
        <v>1.0900000000000001</v>
      </c>
      <c r="I437">
        <v>1.0900000000000001</v>
      </c>
      <c r="J437">
        <v>1.08</v>
      </c>
      <c r="K437">
        <v>1.08</v>
      </c>
      <c r="L437">
        <v>1.0900000000000001</v>
      </c>
      <c r="M437">
        <v>1.07</v>
      </c>
      <c r="N437">
        <v>1.07</v>
      </c>
      <c r="O437">
        <v>1.06</v>
      </c>
      <c r="P437">
        <v>1.06</v>
      </c>
      <c r="Q437">
        <v>1.06</v>
      </c>
      <c r="R437">
        <v>1.05</v>
      </c>
      <c r="S437">
        <v>1.05</v>
      </c>
      <c r="T437">
        <v>1.07</v>
      </c>
      <c r="U437">
        <v>1.06</v>
      </c>
      <c r="V437">
        <v>1.05</v>
      </c>
      <c r="W437">
        <v>1.05</v>
      </c>
    </row>
    <row r="438" spans="1:23" x14ac:dyDescent="0.35">
      <c r="A438" s="2" t="s">
        <v>383</v>
      </c>
      <c r="B438">
        <v>25.4</v>
      </c>
      <c r="C438">
        <v>25.09</v>
      </c>
      <c r="D438">
        <v>25.88</v>
      </c>
      <c r="E438">
        <v>26.09</v>
      </c>
      <c r="F438">
        <v>25.74</v>
      </c>
      <c r="G438">
        <v>24.89</v>
      </c>
      <c r="H438">
        <v>23.57</v>
      </c>
      <c r="I438">
        <v>23.21</v>
      </c>
      <c r="J438">
        <v>23.23</v>
      </c>
      <c r="K438">
        <v>22.75</v>
      </c>
      <c r="L438">
        <v>21.86</v>
      </c>
      <c r="M438">
        <v>21.82</v>
      </c>
      <c r="N438">
        <v>22.72</v>
      </c>
      <c r="O438">
        <v>22.62</v>
      </c>
      <c r="P438">
        <v>22.59</v>
      </c>
      <c r="Q438">
        <v>22.34</v>
      </c>
      <c r="R438">
        <v>21.95</v>
      </c>
      <c r="S438">
        <v>21.61</v>
      </c>
      <c r="T438">
        <v>21.74</v>
      </c>
      <c r="U438">
        <v>21.85</v>
      </c>
      <c r="V438">
        <v>22.17</v>
      </c>
      <c r="W438">
        <v>21.41</v>
      </c>
    </row>
    <row r="439" spans="1:23" x14ac:dyDescent="0.35">
      <c r="A439" s="2" t="s">
        <v>384</v>
      </c>
      <c r="B439">
        <v>11.38</v>
      </c>
      <c r="C439">
        <v>11.34</v>
      </c>
      <c r="D439">
        <v>11.51</v>
      </c>
      <c r="E439">
        <v>11.56</v>
      </c>
      <c r="F439">
        <v>11.42</v>
      </c>
      <c r="G439">
        <v>11.13</v>
      </c>
      <c r="H439">
        <v>10.98</v>
      </c>
      <c r="I439">
        <v>10.9</v>
      </c>
      <c r="J439">
        <v>10.81</v>
      </c>
      <c r="K439">
        <v>10.71</v>
      </c>
      <c r="L439">
        <v>10.74</v>
      </c>
      <c r="M439">
        <v>10.85</v>
      </c>
      <c r="N439">
        <v>11</v>
      </c>
      <c r="O439">
        <v>11.05</v>
      </c>
      <c r="P439">
        <v>10.83</v>
      </c>
      <c r="Q439">
        <v>10.78</v>
      </c>
      <c r="R439">
        <v>10.76</v>
      </c>
      <c r="S439">
        <v>10.69</v>
      </c>
      <c r="T439">
        <v>10.8</v>
      </c>
      <c r="U439">
        <v>10.83</v>
      </c>
      <c r="V439">
        <v>10.86</v>
      </c>
      <c r="W439">
        <v>10.83</v>
      </c>
    </row>
    <row r="440" spans="1:23" x14ac:dyDescent="0.35">
      <c r="A440" s="2" t="s">
        <v>385</v>
      </c>
      <c r="B440">
        <v>1.86</v>
      </c>
      <c r="C440">
        <v>1.91</v>
      </c>
      <c r="D440">
        <v>1.97</v>
      </c>
      <c r="E440">
        <v>1.95</v>
      </c>
      <c r="F440">
        <v>1.99</v>
      </c>
      <c r="G440">
        <v>1.86</v>
      </c>
      <c r="H440">
        <v>1.84</v>
      </c>
      <c r="I440">
        <v>1.81</v>
      </c>
      <c r="J440">
        <v>1.82</v>
      </c>
      <c r="K440">
        <v>1.79</v>
      </c>
      <c r="L440">
        <v>1.81</v>
      </c>
      <c r="M440">
        <v>1.79</v>
      </c>
      <c r="N440">
        <v>1.79</v>
      </c>
      <c r="O440">
        <v>1.84</v>
      </c>
      <c r="P440">
        <v>1.86</v>
      </c>
      <c r="Q440">
        <v>1.78</v>
      </c>
      <c r="R440">
        <v>1.79</v>
      </c>
      <c r="S440">
        <v>1.76</v>
      </c>
      <c r="T440">
        <v>1.76</v>
      </c>
      <c r="U440">
        <v>1.76</v>
      </c>
      <c r="V440">
        <v>1.77</v>
      </c>
      <c r="W440">
        <v>1.77</v>
      </c>
    </row>
    <row r="441" spans="1:23" x14ac:dyDescent="0.35">
      <c r="A441" s="2" t="s">
        <v>386</v>
      </c>
      <c r="B441">
        <v>4.3</v>
      </c>
      <c r="C441">
        <v>4.32</v>
      </c>
      <c r="D441">
        <v>4.4000000000000004</v>
      </c>
      <c r="E441">
        <v>4.6500000000000004</v>
      </c>
      <c r="F441">
        <v>4.66</v>
      </c>
      <c r="G441">
        <v>4.6900000000000004</v>
      </c>
      <c r="H441">
        <v>4.66</v>
      </c>
      <c r="I441">
        <v>4.6500000000000004</v>
      </c>
      <c r="J441">
        <v>4.67</v>
      </c>
      <c r="K441">
        <v>4.6500000000000004</v>
      </c>
      <c r="L441">
        <v>4.67</v>
      </c>
      <c r="M441">
        <v>4.68</v>
      </c>
      <c r="N441">
        <v>4.5999999999999996</v>
      </c>
      <c r="O441">
        <v>4.5999999999999996</v>
      </c>
      <c r="P441">
        <v>4.5</v>
      </c>
      <c r="Q441">
        <v>4.5</v>
      </c>
      <c r="R441">
        <v>4.49</v>
      </c>
      <c r="S441">
        <v>4.4800000000000004</v>
      </c>
      <c r="T441">
        <v>4.49</v>
      </c>
      <c r="U441">
        <v>4.49</v>
      </c>
      <c r="V441">
        <v>4.4800000000000004</v>
      </c>
      <c r="W441">
        <v>4.4800000000000004</v>
      </c>
    </row>
    <row r="442" spans="1:23" x14ac:dyDescent="0.35">
      <c r="A442" s="2" t="s">
        <v>842</v>
      </c>
      <c r="B442">
        <v>41.09</v>
      </c>
      <c r="C442">
        <v>41.09</v>
      </c>
      <c r="D442">
        <v>41.43</v>
      </c>
      <c r="E442">
        <v>42.85</v>
      </c>
      <c r="F442">
        <v>42.17</v>
      </c>
      <c r="G442">
        <v>43.42</v>
      </c>
      <c r="H442">
        <v>44.21</v>
      </c>
      <c r="I442">
        <v>44.33</v>
      </c>
      <c r="J442">
        <v>44.7</v>
      </c>
      <c r="K442">
        <v>45.07</v>
      </c>
      <c r="L442">
        <v>45.41</v>
      </c>
      <c r="M442">
        <v>46.6</v>
      </c>
      <c r="N442">
        <v>46.94</v>
      </c>
      <c r="O442">
        <v>46.57</v>
      </c>
      <c r="P442">
        <v>46.43</v>
      </c>
      <c r="Q442">
        <v>46.51</v>
      </c>
      <c r="R442">
        <v>46.43</v>
      </c>
      <c r="S442">
        <v>46.57</v>
      </c>
      <c r="T442">
        <v>46.68</v>
      </c>
      <c r="U442">
        <v>46.29</v>
      </c>
      <c r="V442">
        <v>46.43</v>
      </c>
      <c r="W442">
        <v>46.4</v>
      </c>
    </row>
    <row r="443" spans="1:23" x14ac:dyDescent="0.35">
      <c r="A443" s="2" t="s">
        <v>387</v>
      </c>
      <c r="B443">
        <v>4.3499999999999996</v>
      </c>
      <c r="C443">
        <v>4.37</v>
      </c>
      <c r="D443">
        <v>4.42</v>
      </c>
      <c r="E443">
        <v>4.21</v>
      </c>
      <c r="F443">
        <v>4.33</v>
      </c>
      <c r="G443">
        <v>4.45</v>
      </c>
      <c r="H443">
        <v>4.43</v>
      </c>
      <c r="I443">
        <v>4.4800000000000004</v>
      </c>
      <c r="J443">
        <v>4.45</v>
      </c>
      <c r="K443">
        <v>4.3899999999999997</v>
      </c>
      <c r="L443">
        <v>4.3099999999999996</v>
      </c>
      <c r="M443">
        <v>4.38</v>
      </c>
      <c r="N443">
        <v>4.33</v>
      </c>
      <c r="O443">
        <v>4.21</v>
      </c>
      <c r="P443">
        <v>4.26</v>
      </c>
      <c r="Q443">
        <v>4.33</v>
      </c>
      <c r="R443">
        <v>4.38</v>
      </c>
      <c r="S443">
        <v>4.26</v>
      </c>
      <c r="T443">
        <v>4.24</v>
      </c>
      <c r="U443">
        <v>4.21</v>
      </c>
      <c r="V443">
        <v>4.22</v>
      </c>
      <c r="W443">
        <v>4.37</v>
      </c>
    </row>
    <row r="444" spans="1:23" x14ac:dyDescent="0.35">
      <c r="A444" s="2" t="s">
        <v>843</v>
      </c>
      <c r="B444">
        <v>190.25</v>
      </c>
      <c r="C444">
        <v>192.34</v>
      </c>
      <c r="D444">
        <v>194.44</v>
      </c>
      <c r="E444">
        <v>199.83</v>
      </c>
      <c r="F444">
        <v>203.88</v>
      </c>
      <c r="G444">
        <v>208.22</v>
      </c>
      <c r="H444">
        <v>205.82</v>
      </c>
      <c r="I444">
        <v>205.38</v>
      </c>
      <c r="J444">
        <v>204.63</v>
      </c>
      <c r="K444">
        <v>204.78</v>
      </c>
      <c r="L444">
        <v>205.67</v>
      </c>
      <c r="M444">
        <v>206.12</v>
      </c>
      <c r="N444">
        <v>208.07</v>
      </c>
      <c r="O444">
        <v>208.07</v>
      </c>
      <c r="P444">
        <v>206.57</v>
      </c>
      <c r="Q444">
        <v>207.02</v>
      </c>
      <c r="R444">
        <v>205.67</v>
      </c>
      <c r="S444">
        <v>205.82</v>
      </c>
      <c r="T444">
        <v>205.82</v>
      </c>
      <c r="U444">
        <v>205.97</v>
      </c>
      <c r="V444">
        <v>205.82</v>
      </c>
      <c r="W444">
        <v>207.92</v>
      </c>
    </row>
    <row r="445" spans="1:23" x14ac:dyDescent="0.35">
      <c r="A445" s="2" t="s">
        <v>388</v>
      </c>
      <c r="B445">
        <v>3.61</v>
      </c>
      <c r="C445">
        <v>3.63</v>
      </c>
      <c r="D445">
        <v>3.75</v>
      </c>
      <c r="E445">
        <v>3.8</v>
      </c>
      <c r="F445">
        <v>3.83</v>
      </c>
      <c r="G445">
        <v>3.89</v>
      </c>
      <c r="H445">
        <v>3.94</v>
      </c>
      <c r="I445">
        <v>3.91</v>
      </c>
      <c r="J445">
        <v>3.9</v>
      </c>
      <c r="K445">
        <v>3.92</v>
      </c>
      <c r="L445">
        <v>3.92</v>
      </c>
      <c r="M445">
        <v>3.89</v>
      </c>
      <c r="N445">
        <v>3.85</v>
      </c>
      <c r="O445">
        <v>3.86</v>
      </c>
      <c r="P445">
        <v>3.88</v>
      </c>
      <c r="Q445">
        <v>3.9</v>
      </c>
      <c r="R445">
        <v>3.87</v>
      </c>
      <c r="S445">
        <v>3.9</v>
      </c>
      <c r="T445">
        <v>3.89</v>
      </c>
      <c r="U445">
        <v>3.86</v>
      </c>
      <c r="V445">
        <v>3.89</v>
      </c>
      <c r="W445">
        <v>3.88</v>
      </c>
    </row>
    <row r="446" spans="1:23" x14ac:dyDescent="0.35">
      <c r="A446" s="2" t="s">
        <v>389</v>
      </c>
      <c r="B446">
        <v>15.4</v>
      </c>
      <c r="C446">
        <v>15.29</v>
      </c>
      <c r="D446">
        <v>15.74</v>
      </c>
      <c r="E446">
        <v>16.32</v>
      </c>
      <c r="F446">
        <v>16.23</v>
      </c>
      <c r="G446">
        <v>16.16</v>
      </c>
      <c r="H446">
        <v>16.41</v>
      </c>
      <c r="I446">
        <v>16.399999999999999</v>
      </c>
      <c r="J446">
        <v>16.43</v>
      </c>
      <c r="K446">
        <v>16.399999999999999</v>
      </c>
      <c r="L446">
        <v>16.579999999999998</v>
      </c>
      <c r="M446">
        <v>16.579999999999998</v>
      </c>
      <c r="N446">
        <v>16.71</v>
      </c>
      <c r="O446">
        <v>16.86</v>
      </c>
      <c r="P446">
        <v>16.54</v>
      </c>
      <c r="Q446">
        <v>16.38</v>
      </c>
      <c r="R446">
        <v>16.38</v>
      </c>
      <c r="S446">
        <v>16.37</v>
      </c>
      <c r="T446">
        <v>15.76</v>
      </c>
      <c r="U446">
        <v>16.02</v>
      </c>
      <c r="V446">
        <v>15.79</v>
      </c>
      <c r="W446">
        <v>15.74</v>
      </c>
    </row>
    <row r="447" spans="1:23" x14ac:dyDescent="0.35">
      <c r="A447" s="2" t="s">
        <v>390</v>
      </c>
      <c r="B447">
        <v>3.76</v>
      </c>
      <c r="C447">
        <v>3.71</v>
      </c>
      <c r="D447">
        <v>3.93</v>
      </c>
      <c r="E447">
        <v>3.92</v>
      </c>
      <c r="F447">
        <v>3.73</v>
      </c>
      <c r="G447">
        <v>3.7</v>
      </c>
      <c r="H447">
        <v>3.51</v>
      </c>
      <c r="I447">
        <v>3.46</v>
      </c>
      <c r="J447">
        <v>3.29</v>
      </c>
      <c r="K447">
        <v>3.26</v>
      </c>
      <c r="L447">
        <v>3.3</v>
      </c>
      <c r="M447">
        <v>3.23</v>
      </c>
      <c r="N447">
        <v>3.33</v>
      </c>
      <c r="O447">
        <v>3.27</v>
      </c>
      <c r="P447">
        <v>3.26</v>
      </c>
      <c r="Q447">
        <v>3.22</v>
      </c>
      <c r="R447">
        <v>3.21</v>
      </c>
      <c r="S447">
        <v>3.18</v>
      </c>
      <c r="T447">
        <v>3.02</v>
      </c>
      <c r="U447">
        <v>3.02</v>
      </c>
      <c r="V447">
        <v>3.07</v>
      </c>
      <c r="W447">
        <v>3.02</v>
      </c>
    </row>
    <row r="448" spans="1:23" x14ac:dyDescent="0.35">
      <c r="A448" s="2" t="s">
        <v>391</v>
      </c>
      <c r="B448">
        <v>143.68</v>
      </c>
      <c r="C448">
        <v>146.41999999999999</v>
      </c>
      <c r="D448">
        <v>157.62</v>
      </c>
      <c r="E448">
        <v>160.24</v>
      </c>
      <c r="F448">
        <v>158.81</v>
      </c>
      <c r="G448">
        <v>151.78</v>
      </c>
      <c r="H448">
        <v>152.85</v>
      </c>
      <c r="I448">
        <v>151.30000000000001</v>
      </c>
      <c r="J448">
        <v>150.47</v>
      </c>
      <c r="K448">
        <v>150.22999999999999</v>
      </c>
      <c r="L448">
        <v>146.78</v>
      </c>
      <c r="M448">
        <v>145.35</v>
      </c>
      <c r="N448">
        <v>148.80000000000001</v>
      </c>
      <c r="O448">
        <v>148.68</v>
      </c>
      <c r="P448">
        <v>150.11000000000001</v>
      </c>
      <c r="Q448">
        <v>146.30000000000001</v>
      </c>
      <c r="R448">
        <v>145.82</v>
      </c>
      <c r="S448">
        <v>145.11000000000001</v>
      </c>
      <c r="T448">
        <v>145.58000000000001</v>
      </c>
      <c r="U448">
        <v>143.80000000000001</v>
      </c>
      <c r="V448">
        <v>144.99</v>
      </c>
      <c r="W448">
        <v>142.96</v>
      </c>
    </row>
    <row r="449" spans="1:23" x14ac:dyDescent="0.35">
      <c r="A449" s="2" t="s">
        <v>392</v>
      </c>
      <c r="B449">
        <v>144.38999999999999</v>
      </c>
      <c r="C449">
        <v>149.44999999999999</v>
      </c>
      <c r="D449">
        <v>160.91</v>
      </c>
      <c r="E449">
        <v>164.21</v>
      </c>
      <c r="F449">
        <v>161.72999999999999</v>
      </c>
      <c r="G449">
        <v>156.47</v>
      </c>
      <c r="H449">
        <v>154.71</v>
      </c>
      <c r="I449">
        <v>154.19999999999999</v>
      </c>
      <c r="J449">
        <v>151.52000000000001</v>
      </c>
      <c r="K449">
        <v>152.65</v>
      </c>
      <c r="L449">
        <v>149.55000000000001</v>
      </c>
      <c r="M449">
        <v>150.16999999999999</v>
      </c>
      <c r="N449">
        <v>153.06</v>
      </c>
      <c r="O449">
        <v>153.16999999999999</v>
      </c>
      <c r="P449">
        <v>152.34</v>
      </c>
      <c r="Q449">
        <v>150.38</v>
      </c>
      <c r="R449">
        <v>149.04</v>
      </c>
      <c r="S449">
        <v>146.25</v>
      </c>
      <c r="T449">
        <v>143.97999999999999</v>
      </c>
      <c r="U449">
        <v>145.32</v>
      </c>
      <c r="V449">
        <v>148.41999999999999</v>
      </c>
      <c r="W449">
        <v>148.11000000000001</v>
      </c>
    </row>
    <row r="450" spans="1:23" x14ac:dyDescent="0.35">
      <c r="A450" s="2" t="s">
        <v>393</v>
      </c>
      <c r="B450">
        <v>74.11</v>
      </c>
      <c r="C450">
        <v>77.25</v>
      </c>
      <c r="D450">
        <v>84.48</v>
      </c>
      <c r="E450">
        <v>85.69</v>
      </c>
      <c r="F450">
        <v>83.49</v>
      </c>
      <c r="G450">
        <v>80.66</v>
      </c>
      <c r="H450">
        <v>80.5</v>
      </c>
      <c r="I450">
        <v>80.55</v>
      </c>
      <c r="J450">
        <v>78.67</v>
      </c>
      <c r="K450">
        <v>79.19</v>
      </c>
      <c r="L450">
        <v>77.31</v>
      </c>
      <c r="M450">
        <v>77.459999999999994</v>
      </c>
      <c r="N450">
        <v>79.709999999999994</v>
      </c>
      <c r="O450">
        <v>79.03</v>
      </c>
      <c r="P450">
        <v>78.459999999999994</v>
      </c>
      <c r="Q450">
        <v>77.36</v>
      </c>
      <c r="R450">
        <v>76.569999999999993</v>
      </c>
      <c r="S450">
        <v>74.739999999999995</v>
      </c>
      <c r="T450">
        <v>72.59</v>
      </c>
      <c r="U450">
        <v>73.17</v>
      </c>
      <c r="V450">
        <v>75.37</v>
      </c>
      <c r="W450">
        <v>75.16</v>
      </c>
    </row>
    <row r="451" spans="1:23" x14ac:dyDescent="0.35">
      <c r="A451" s="2" t="s">
        <v>394</v>
      </c>
      <c r="B451">
        <v>167.71</v>
      </c>
      <c r="C451">
        <v>171.13</v>
      </c>
      <c r="D451">
        <v>181.7</v>
      </c>
      <c r="E451">
        <v>191.2</v>
      </c>
      <c r="F451">
        <v>185.86</v>
      </c>
      <c r="G451">
        <v>173.26</v>
      </c>
      <c r="H451">
        <v>167.18</v>
      </c>
      <c r="I451">
        <v>163.76</v>
      </c>
      <c r="J451">
        <v>159.71</v>
      </c>
      <c r="K451">
        <v>158.75</v>
      </c>
      <c r="L451">
        <v>156.29</v>
      </c>
      <c r="M451">
        <v>153.51</v>
      </c>
      <c r="N451">
        <v>153.83000000000001</v>
      </c>
      <c r="O451">
        <v>160.66999999999999</v>
      </c>
      <c r="P451">
        <v>161.19999999999999</v>
      </c>
      <c r="Q451">
        <v>160.56</v>
      </c>
      <c r="R451">
        <v>157.68</v>
      </c>
      <c r="S451">
        <v>154.26</v>
      </c>
      <c r="T451">
        <v>152.44999999999999</v>
      </c>
      <c r="U451">
        <v>151.38</v>
      </c>
      <c r="V451">
        <v>154.47999999999999</v>
      </c>
      <c r="W451">
        <v>154.9</v>
      </c>
    </row>
    <row r="452" spans="1:23" x14ac:dyDescent="0.35">
      <c r="A452" s="2" t="s">
        <v>395</v>
      </c>
      <c r="B452">
        <v>17.940000000000001</v>
      </c>
      <c r="C452">
        <v>18.29</v>
      </c>
      <c r="D452">
        <v>19.510000000000002</v>
      </c>
      <c r="E452">
        <v>20.65</v>
      </c>
      <c r="F452">
        <v>20.02</v>
      </c>
      <c r="G452">
        <v>18.43</v>
      </c>
      <c r="H452">
        <v>17.68</v>
      </c>
      <c r="I452">
        <v>17.12</v>
      </c>
      <c r="J452">
        <v>16.46</v>
      </c>
      <c r="K452">
        <v>16.62</v>
      </c>
      <c r="L452">
        <v>16.38</v>
      </c>
      <c r="M452">
        <v>15.76</v>
      </c>
      <c r="N452">
        <v>15.81</v>
      </c>
      <c r="O452">
        <v>16.84</v>
      </c>
      <c r="P452">
        <v>17.05</v>
      </c>
      <c r="Q452">
        <v>17.07</v>
      </c>
      <c r="R452">
        <v>16.97</v>
      </c>
      <c r="S452">
        <v>16.27</v>
      </c>
      <c r="T452">
        <v>15.89</v>
      </c>
      <c r="U452">
        <v>15.74</v>
      </c>
      <c r="V452">
        <v>15.95</v>
      </c>
      <c r="W452">
        <v>16.18</v>
      </c>
    </row>
    <row r="453" spans="1:23" x14ac:dyDescent="0.35">
      <c r="A453" s="2" t="s">
        <v>396</v>
      </c>
      <c r="B453">
        <v>7.86</v>
      </c>
      <c r="C453">
        <v>8.27</v>
      </c>
      <c r="D453">
        <v>8.7799999999999994</v>
      </c>
      <c r="E453">
        <v>9.0299999999999994</v>
      </c>
      <c r="F453">
        <v>8.59</v>
      </c>
      <c r="G453">
        <v>8.3699999999999992</v>
      </c>
      <c r="H453">
        <v>8.48</v>
      </c>
      <c r="I453">
        <v>8.4600000000000009</v>
      </c>
      <c r="J453">
        <v>8.48</v>
      </c>
      <c r="K453">
        <v>8.58</v>
      </c>
      <c r="L453">
        <v>8.26</v>
      </c>
      <c r="M453">
        <v>8.1300000000000008</v>
      </c>
      <c r="N453">
        <v>8.39</v>
      </c>
      <c r="O453">
        <v>8.33</v>
      </c>
      <c r="P453">
        <v>8.34</v>
      </c>
      <c r="Q453">
        <v>8.31</v>
      </c>
      <c r="R453">
        <v>8.1999999999999993</v>
      </c>
      <c r="S453">
        <v>8.0399999999999991</v>
      </c>
      <c r="T453">
        <v>7.83</v>
      </c>
      <c r="U453">
        <v>7.86</v>
      </c>
      <c r="V453">
        <v>8.06</v>
      </c>
      <c r="W453">
        <v>8.01</v>
      </c>
    </row>
    <row r="454" spans="1:23" x14ac:dyDescent="0.35">
      <c r="A454" s="2" t="s">
        <v>397</v>
      </c>
      <c r="B454">
        <v>129.38999999999999</v>
      </c>
      <c r="C454">
        <v>131.35</v>
      </c>
      <c r="D454">
        <v>151.09</v>
      </c>
      <c r="E454">
        <v>153.93</v>
      </c>
      <c r="F454">
        <v>148.87</v>
      </c>
      <c r="G454">
        <v>131.44</v>
      </c>
      <c r="H454">
        <v>139.53</v>
      </c>
      <c r="I454">
        <v>137.47999999999999</v>
      </c>
      <c r="J454">
        <v>134.19</v>
      </c>
      <c r="K454">
        <v>129.91999999999999</v>
      </c>
      <c r="L454">
        <v>126.9</v>
      </c>
      <c r="M454">
        <v>126.72</v>
      </c>
      <c r="N454">
        <v>132.15</v>
      </c>
      <c r="O454">
        <v>130.55000000000001</v>
      </c>
      <c r="P454">
        <v>129.21</v>
      </c>
      <c r="Q454">
        <v>129.83000000000001</v>
      </c>
      <c r="R454">
        <v>126.1</v>
      </c>
      <c r="S454">
        <v>125.83</v>
      </c>
      <c r="T454">
        <v>120.94</v>
      </c>
      <c r="U454">
        <v>124.23</v>
      </c>
      <c r="V454">
        <v>121.92</v>
      </c>
      <c r="W454">
        <v>121.65</v>
      </c>
    </row>
    <row r="455" spans="1:23" x14ac:dyDescent="0.35">
      <c r="A455" s="2" t="s">
        <v>398</v>
      </c>
      <c r="B455">
        <v>4.3</v>
      </c>
      <c r="C455">
        <v>4.47</v>
      </c>
      <c r="D455">
        <v>4.5199999999999996</v>
      </c>
      <c r="E455">
        <v>4.5999999999999996</v>
      </c>
      <c r="F455">
        <v>4.5599999999999996</v>
      </c>
      <c r="G455">
        <v>4.4400000000000004</v>
      </c>
      <c r="H455">
        <v>4.2</v>
      </c>
      <c r="I455">
        <v>4.2300000000000004</v>
      </c>
      <c r="J455">
        <v>4.18</v>
      </c>
      <c r="K455">
        <v>4.18</v>
      </c>
      <c r="L455">
        <v>4.29</v>
      </c>
      <c r="M455">
        <v>4.32</v>
      </c>
      <c r="N455">
        <v>4.21</v>
      </c>
      <c r="O455">
        <v>4.21</v>
      </c>
      <c r="P455">
        <v>4.1500000000000004</v>
      </c>
      <c r="Q455">
        <v>4.13</v>
      </c>
      <c r="R455">
        <v>4.04</v>
      </c>
      <c r="S455">
        <v>4.04</v>
      </c>
      <c r="T455">
        <v>3.89</v>
      </c>
      <c r="U455">
        <v>3.85</v>
      </c>
      <c r="V455">
        <v>4</v>
      </c>
      <c r="W455">
        <v>3.93</v>
      </c>
    </row>
    <row r="456" spans="1:23" x14ac:dyDescent="0.35">
      <c r="A456" s="2" t="s">
        <v>399</v>
      </c>
      <c r="B456">
        <v>0.26</v>
      </c>
      <c r="C456">
        <v>0.28000000000000003</v>
      </c>
      <c r="D456">
        <v>0.28999999999999998</v>
      </c>
      <c r="E456">
        <v>0.28999999999999998</v>
      </c>
      <c r="F456">
        <v>0.28000000000000003</v>
      </c>
      <c r="G456">
        <v>0.26</v>
      </c>
      <c r="H456">
        <v>0.25</v>
      </c>
      <c r="I456">
        <v>0.26</v>
      </c>
      <c r="J456">
        <v>0.25</v>
      </c>
      <c r="K456">
        <v>0.25</v>
      </c>
      <c r="L456">
        <v>0.25</v>
      </c>
      <c r="M456">
        <v>0.26</v>
      </c>
      <c r="N456">
        <v>0.26</v>
      </c>
      <c r="O456">
        <v>0.26</v>
      </c>
      <c r="P456">
        <v>0.26</v>
      </c>
      <c r="Q456">
        <v>0.25</v>
      </c>
      <c r="R456">
        <v>0.25</v>
      </c>
      <c r="S456">
        <v>0.25</v>
      </c>
      <c r="T456">
        <v>0.25</v>
      </c>
      <c r="U456">
        <v>0.25</v>
      </c>
      <c r="V456">
        <v>0.25</v>
      </c>
      <c r="W456">
        <v>0.25</v>
      </c>
    </row>
    <row r="457" spans="1:23" x14ac:dyDescent="0.35">
      <c r="A457" s="2" t="s">
        <v>400</v>
      </c>
      <c r="B457">
        <v>112.31</v>
      </c>
      <c r="C457">
        <v>113.32</v>
      </c>
      <c r="D457">
        <v>113.97</v>
      </c>
      <c r="E457">
        <v>116.09</v>
      </c>
      <c r="F457">
        <v>118.5</v>
      </c>
      <c r="G457">
        <v>118.4</v>
      </c>
      <c r="H457">
        <v>117.76</v>
      </c>
      <c r="I457">
        <v>120.71</v>
      </c>
      <c r="J457">
        <v>121.08</v>
      </c>
      <c r="K457">
        <v>120.62</v>
      </c>
      <c r="L457">
        <v>121.17</v>
      </c>
      <c r="M457">
        <v>123.11</v>
      </c>
      <c r="N457">
        <v>124.41</v>
      </c>
      <c r="O457">
        <v>123.58</v>
      </c>
      <c r="P457">
        <v>122.93</v>
      </c>
      <c r="Q457">
        <v>123.48</v>
      </c>
      <c r="R457">
        <v>123.39</v>
      </c>
      <c r="S457">
        <v>123.76</v>
      </c>
      <c r="T457">
        <v>126.72</v>
      </c>
      <c r="U457">
        <v>132.07</v>
      </c>
      <c r="V457">
        <v>133.37</v>
      </c>
      <c r="W457">
        <v>133.91999999999999</v>
      </c>
    </row>
    <row r="458" spans="1:23" x14ac:dyDescent="0.35">
      <c r="A458" s="2" t="s">
        <v>401</v>
      </c>
      <c r="B458">
        <v>6.82</v>
      </c>
      <c r="C458">
        <v>6.91</v>
      </c>
      <c r="D458">
        <v>7.01</v>
      </c>
      <c r="E458">
        <v>7.01</v>
      </c>
      <c r="F458">
        <v>7.06</v>
      </c>
      <c r="G458">
        <v>7.24</v>
      </c>
      <c r="H458">
        <v>7.21</v>
      </c>
      <c r="I458">
        <v>7.25</v>
      </c>
      <c r="J458">
        <v>7.29</v>
      </c>
      <c r="K458">
        <v>7.35</v>
      </c>
      <c r="L458">
        <v>7.36</v>
      </c>
      <c r="M458">
        <v>7.35</v>
      </c>
      <c r="N458">
        <v>7.33</v>
      </c>
      <c r="O458">
        <v>7.38</v>
      </c>
      <c r="P458">
        <v>7.39</v>
      </c>
      <c r="Q458">
        <v>7.33</v>
      </c>
      <c r="R458">
        <v>7.39</v>
      </c>
      <c r="S458">
        <v>7.38</v>
      </c>
      <c r="T458">
        <v>7.41</v>
      </c>
      <c r="U458">
        <v>7.41</v>
      </c>
      <c r="V458">
        <v>7.44</v>
      </c>
      <c r="W458">
        <v>7.41</v>
      </c>
    </row>
    <row r="459" spans="1:23" x14ac:dyDescent="0.35">
      <c r="A459" s="2" t="s">
        <v>402</v>
      </c>
      <c r="B459">
        <v>8.44</v>
      </c>
      <c r="C459">
        <v>8.44</v>
      </c>
      <c r="D459">
        <v>8.36</v>
      </c>
      <c r="E459">
        <v>8.59</v>
      </c>
      <c r="F459">
        <v>8.5399999999999991</v>
      </c>
      <c r="G459">
        <v>8.3000000000000007</v>
      </c>
      <c r="H459">
        <v>8.33</v>
      </c>
      <c r="I459">
        <v>8.33</v>
      </c>
      <c r="J459">
        <v>8.1199999999999992</v>
      </c>
      <c r="K459">
        <v>8.1199999999999992</v>
      </c>
      <c r="L459">
        <v>8.06</v>
      </c>
      <c r="M459">
        <v>8.06</v>
      </c>
      <c r="N459">
        <v>8.19</v>
      </c>
      <c r="O459">
        <v>8.3800000000000008</v>
      </c>
      <c r="P459">
        <v>8.18</v>
      </c>
      <c r="Q459">
        <v>8.24</v>
      </c>
      <c r="R459">
        <v>8.24</v>
      </c>
      <c r="S459">
        <v>8.17</v>
      </c>
      <c r="T459">
        <v>8.1300000000000008</v>
      </c>
      <c r="U459">
        <v>8.11</v>
      </c>
      <c r="V459">
        <v>8.09</v>
      </c>
      <c r="W459">
        <v>7.76</v>
      </c>
    </row>
    <row r="460" spans="1:23" x14ac:dyDescent="0.35">
      <c r="A460" s="2" t="s">
        <v>403</v>
      </c>
      <c r="B460">
        <v>0.66</v>
      </c>
      <c r="C460">
        <v>0.66</v>
      </c>
      <c r="D460">
        <v>0.66</v>
      </c>
      <c r="E460">
        <v>0.67</v>
      </c>
      <c r="F460">
        <v>0.68</v>
      </c>
      <c r="G460">
        <v>0.7</v>
      </c>
      <c r="H460">
        <v>0.69</v>
      </c>
      <c r="I460">
        <v>0.71</v>
      </c>
      <c r="J460">
        <v>0.71</v>
      </c>
      <c r="K460">
        <v>0.71</v>
      </c>
      <c r="L460">
        <v>0.71</v>
      </c>
      <c r="M460">
        <v>0.71</v>
      </c>
      <c r="N460">
        <v>0.7</v>
      </c>
      <c r="O460">
        <v>0.71</v>
      </c>
      <c r="P460">
        <v>0.71</v>
      </c>
      <c r="Q460">
        <v>0.71</v>
      </c>
      <c r="R460">
        <v>0.7</v>
      </c>
      <c r="S460">
        <v>0.7</v>
      </c>
      <c r="T460">
        <v>0.71</v>
      </c>
      <c r="U460">
        <v>0.71</v>
      </c>
      <c r="V460">
        <v>0.73</v>
      </c>
      <c r="W460">
        <v>0.73</v>
      </c>
    </row>
    <row r="461" spans="1:23" x14ac:dyDescent="0.35">
      <c r="A461" s="2" t="s">
        <v>404</v>
      </c>
      <c r="B461">
        <v>0.66</v>
      </c>
      <c r="C461">
        <v>0.62</v>
      </c>
      <c r="D461">
        <v>0.62</v>
      </c>
      <c r="E461">
        <v>0.72</v>
      </c>
      <c r="F461">
        <v>0.72</v>
      </c>
      <c r="G461">
        <v>0.74</v>
      </c>
      <c r="H461">
        <v>0.74</v>
      </c>
      <c r="I461">
        <v>0.74</v>
      </c>
      <c r="J461">
        <v>0.74</v>
      </c>
      <c r="K461">
        <v>0.74</v>
      </c>
      <c r="L461">
        <v>0.75</v>
      </c>
      <c r="M461">
        <v>0.78</v>
      </c>
      <c r="N461">
        <v>0.79</v>
      </c>
      <c r="O461">
        <v>0.79</v>
      </c>
      <c r="P461">
        <v>0.79</v>
      </c>
      <c r="Q461">
        <v>0.81</v>
      </c>
      <c r="R461">
        <v>0.82</v>
      </c>
      <c r="S461">
        <v>0.82</v>
      </c>
      <c r="T461">
        <v>0.82</v>
      </c>
      <c r="U461">
        <v>0.82</v>
      </c>
      <c r="V461">
        <v>0.82</v>
      </c>
      <c r="W461">
        <v>0.82</v>
      </c>
    </row>
    <row r="462" spans="1:23" x14ac:dyDescent="0.35">
      <c r="A462" s="2" t="s">
        <v>405</v>
      </c>
      <c r="B462">
        <v>0.01</v>
      </c>
      <c r="C462">
        <v>0.01</v>
      </c>
      <c r="D462">
        <v>0.02</v>
      </c>
      <c r="E462">
        <v>0.01</v>
      </c>
      <c r="F462">
        <v>0.02</v>
      </c>
      <c r="G462">
        <v>0.02</v>
      </c>
      <c r="H462">
        <v>0.02</v>
      </c>
      <c r="I462">
        <v>0.02</v>
      </c>
      <c r="J462">
        <v>0.02</v>
      </c>
      <c r="K462">
        <v>0.02</v>
      </c>
      <c r="L462">
        <v>0.02</v>
      </c>
      <c r="M462">
        <v>0.02</v>
      </c>
      <c r="N462">
        <v>0.02</v>
      </c>
      <c r="O462">
        <v>0.02</v>
      </c>
      <c r="P462">
        <v>0.02</v>
      </c>
      <c r="Q462">
        <v>0.02</v>
      </c>
      <c r="R462">
        <v>0.02</v>
      </c>
      <c r="S462">
        <v>0.02</v>
      </c>
      <c r="T462">
        <v>0.02</v>
      </c>
      <c r="U462">
        <v>0.02</v>
      </c>
      <c r="V462">
        <v>0.02</v>
      </c>
      <c r="W462">
        <v>0.02</v>
      </c>
    </row>
    <row r="463" spans="1:23" x14ac:dyDescent="0.35">
      <c r="A463" s="2" t="s">
        <v>406</v>
      </c>
      <c r="B463">
        <v>32.04</v>
      </c>
      <c r="C463">
        <v>32.04</v>
      </c>
      <c r="D463">
        <v>32.04</v>
      </c>
      <c r="E463">
        <v>32.04</v>
      </c>
      <c r="F463">
        <v>32.04</v>
      </c>
      <c r="G463">
        <v>32.04</v>
      </c>
      <c r="H463">
        <v>32.04</v>
      </c>
      <c r="I463">
        <v>32.04</v>
      </c>
      <c r="J463">
        <v>32.04</v>
      </c>
      <c r="K463">
        <v>32.04</v>
      </c>
      <c r="L463">
        <v>32.04</v>
      </c>
      <c r="M463">
        <v>32.04</v>
      </c>
      <c r="N463">
        <v>32.04</v>
      </c>
      <c r="O463">
        <v>32.04</v>
      </c>
      <c r="P463">
        <v>32.04</v>
      </c>
      <c r="Q463">
        <v>32.04</v>
      </c>
      <c r="R463">
        <v>32.04</v>
      </c>
      <c r="S463">
        <v>32.04</v>
      </c>
      <c r="T463">
        <v>32.04</v>
      </c>
      <c r="U463">
        <v>32.04</v>
      </c>
      <c r="V463">
        <v>32.04</v>
      </c>
      <c r="W463">
        <v>32.04</v>
      </c>
    </row>
    <row r="464" spans="1:23" x14ac:dyDescent="0.35">
      <c r="A464" s="2" t="s">
        <v>844</v>
      </c>
      <c r="B464">
        <v>65.98</v>
      </c>
      <c r="C464">
        <v>66.569999999999993</v>
      </c>
      <c r="D464">
        <v>66.37</v>
      </c>
      <c r="E464">
        <v>65.72</v>
      </c>
      <c r="F464">
        <v>64.23</v>
      </c>
      <c r="G464">
        <v>64.81</v>
      </c>
      <c r="H464">
        <v>63.64</v>
      </c>
      <c r="I464">
        <v>64.62</v>
      </c>
      <c r="J464">
        <v>65.459999999999994</v>
      </c>
      <c r="K464">
        <v>65.33</v>
      </c>
      <c r="L464">
        <v>64.16</v>
      </c>
      <c r="M464">
        <v>65.2</v>
      </c>
      <c r="N464">
        <v>65.459999999999994</v>
      </c>
      <c r="O464">
        <v>64.75</v>
      </c>
      <c r="P464">
        <v>65.069999999999993</v>
      </c>
      <c r="Q464">
        <v>66.239999999999995</v>
      </c>
      <c r="R464">
        <v>68.260000000000005</v>
      </c>
      <c r="S464">
        <v>67.739999999999995</v>
      </c>
      <c r="T464">
        <v>67.349999999999994</v>
      </c>
      <c r="U464">
        <v>67.28</v>
      </c>
      <c r="V464">
        <v>67.349999999999994</v>
      </c>
      <c r="W464">
        <v>68.13</v>
      </c>
    </row>
    <row r="465" spans="1:23" x14ac:dyDescent="0.35">
      <c r="A465" s="2" t="s">
        <v>407</v>
      </c>
      <c r="B465">
        <v>42.13</v>
      </c>
      <c r="C465">
        <v>42.58</v>
      </c>
      <c r="D465">
        <v>42.22</v>
      </c>
      <c r="E465">
        <v>41.46</v>
      </c>
      <c r="F465">
        <v>39.71</v>
      </c>
      <c r="G465">
        <v>40.21</v>
      </c>
      <c r="H465">
        <v>38.68</v>
      </c>
      <c r="I465">
        <v>40.03</v>
      </c>
      <c r="J465">
        <v>40.880000000000003</v>
      </c>
      <c r="K465">
        <v>40.700000000000003</v>
      </c>
      <c r="L465">
        <v>39.71</v>
      </c>
      <c r="M465">
        <v>40.79</v>
      </c>
      <c r="N465">
        <v>40.92</v>
      </c>
      <c r="O465">
        <v>40.340000000000003</v>
      </c>
      <c r="P465">
        <v>40.25</v>
      </c>
      <c r="Q465">
        <v>41.46</v>
      </c>
      <c r="R465">
        <v>43.52</v>
      </c>
      <c r="S465">
        <v>42.85</v>
      </c>
      <c r="T465">
        <v>42.45</v>
      </c>
      <c r="U465">
        <v>42.45</v>
      </c>
      <c r="V465">
        <v>42.54</v>
      </c>
      <c r="W465">
        <v>43.3</v>
      </c>
    </row>
    <row r="466" spans="1:23" x14ac:dyDescent="0.35">
      <c r="A466" s="2" t="s">
        <v>408</v>
      </c>
      <c r="B466">
        <v>9.2799999999999994</v>
      </c>
      <c r="C466">
        <v>9.33</v>
      </c>
      <c r="D466">
        <v>9.48</v>
      </c>
      <c r="E466">
        <v>9.4</v>
      </c>
      <c r="F466">
        <v>9.42</v>
      </c>
      <c r="G466">
        <v>9.64</v>
      </c>
      <c r="H466">
        <v>9.4</v>
      </c>
      <c r="I466">
        <v>9.6199999999999992</v>
      </c>
      <c r="J466">
        <v>9.6300000000000008</v>
      </c>
      <c r="K466">
        <v>9.5399999999999991</v>
      </c>
      <c r="L466">
        <v>9.56</v>
      </c>
      <c r="M466">
        <v>9.51</v>
      </c>
      <c r="N466">
        <v>9.5299999999999994</v>
      </c>
      <c r="O466">
        <v>9.56</v>
      </c>
      <c r="P466">
        <v>9.3800000000000008</v>
      </c>
      <c r="Q466">
        <v>9.5500000000000007</v>
      </c>
      <c r="R466">
        <v>9.5500000000000007</v>
      </c>
      <c r="S466">
        <v>9.5500000000000007</v>
      </c>
      <c r="T466">
        <v>9.6999999999999993</v>
      </c>
      <c r="U466">
        <v>9.69</v>
      </c>
      <c r="V466">
        <v>9.7799999999999994</v>
      </c>
      <c r="W466">
        <v>9.6999999999999993</v>
      </c>
    </row>
    <row r="467" spans="1:23" x14ac:dyDescent="0.35">
      <c r="A467" s="2" t="s">
        <v>409</v>
      </c>
      <c r="B467">
        <v>1.18</v>
      </c>
      <c r="C467">
        <v>1.18</v>
      </c>
      <c r="D467">
        <v>1.18</v>
      </c>
      <c r="E467">
        <v>1.18</v>
      </c>
      <c r="F467">
        <v>1.18</v>
      </c>
      <c r="G467">
        <v>1.27</v>
      </c>
      <c r="H467">
        <v>1.27</v>
      </c>
      <c r="I467">
        <v>1.45</v>
      </c>
      <c r="J467">
        <v>1.45</v>
      </c>
      <c r="K467">
        <v>1.45</v>
      </c>
      <c r="L467">
        <v>1.45</v>
      </c>
      <c r="M467">
        <v>1.45</v>
      </c>
      <c r="N467">
        <v>1.45</v>
      </c>
      <c r="O467">
        <v>1.45</v>
      </c>
      <c r="P467">
        <v>1.58</v>
      </c>
      <c r="Q467">
        <v>1.58</v>
      </c>
      <c r="R467">
        <v>1.58</v>
      </c>
      <c r="S467">
        <v>1.58</v>
      </c>
      <c r="T467">
        <v>1.58</v>
      </c>
      <c r="U467">
        <v>1.58</v>
      </c>
      <c r="V467">
        <v>1.58</v>
      </c>
      <c r="W467">
        <v>1.58</v>
      </c>
    </row>
    <row r="468" spans="1:23" x14ac:dyDescent="0.35">
      <c r="A468" s="2" t="s">
        <v>410</v>
      </c>
      <c r="B468">
        <v>0.92</v>
      </c>
      <c r="C468">
        <v>0.94</v>
      </c>
      <c r="D468">
        <v>0.98</v>
      </c>
      <c r="E468">
        <v>1.01</v>
      </c>
      <c r="F468">
        <v>1</v>
      </c>
      <c r="G468">
        <v>0.96</v>
      </c>
      <c r="H468">
        <v>0.92</v>
      </c>
      <c r="I468">
        <v>0.9</v>
      </c>
      <c r="J468">
        <v>0.89</v>
      </c>
      <c r="K468">
        <v>0.88</v>
      </c>
      <c r="L468">
        <v>0.88</v>
      </c>
      <c r="M468">
        <v>0.88</v>
      </c>
      <c r="N468">
        <v>0.89</v>
      </c>
      <c r="O468">
        <v>0.89</v>
      </c>
      <c r="P468">
        <v>0.89</v>
      </c>
      <c r="Q468">
        <v>0.88</v>
      </c>
      <c r="R468">
        <v>0.88</v>
      </c>
      <c r="S468">
        <v>0.87</v>
      </c>
      <c r="T468">
        <v>0.88</v>
      </c>
      <c r="U468">
        <v>0.88</v>
      </c>
      <c r="V468">
        <v>0.89</v>
      </c>
      <c r="W468">
        <v>0.88</v>
      </c>
    </row>
    <row r="469" spans="1:23" x14ac:dyDescent="0.35">
      <c r="A469" s="2" t="s">
        <v>411</v>
      </c>
      <c r="B469">
        <v>0.14000000000000001</v>
      </c>
      <c r="C469">
        <v>0.14000000000000001</v>
      </c>
      <c r="D469">
        <v>0.14000000000000001</v>
      </c>
      <c r="E469">
        <v>0.14000000000000001</v>
      </c>
      <c r="F469">
        <v>0.14000000000000001</v>
      </c>
      <c r="G469">
        <v>0.14000000000000001</v>
      </c>
      <c r="H469">
        <v>0.14000000000000001</v>
      </c>
      <c r="I469">
        <v>0.14000000000000001</v>
      </c>
      <c r="J469">
        <v>0.14000000000000001</v>
      </c>
      <c r="K469">
        <v>0.14000000000000001</v>
      </c>
      <c r="L469">
        <v>0.14000000000000001</v>
      </c>
      <c r="M469">
        <v>0.14000000000000001</v>
      </c>
      <c r="N469">
        <v>0.14000000000000001</v>
      </c>
      <c r="O469">
        <v>0.15</v>
      </c>
      <c r="P469">
        <v>0.15</v>
      </c>
      <c r="Q469">
        <v>0.15</v>
      </c>
      <c r="R469">
        <v>0.15</v>
      </c>
      <c r="S469">
        <v>0.15</v>
      </c>
      <c r="T469">
        <v>0.15</v>
      </c>
      <c r="U469">
        <v>0.15</v>
      </c>
      <c r="V469">
        <v>0.15</v>
      </c>
      <c r="W469">
        <v>0.15</v>
      </c>
    </row>
    <row r="470" spans="1:23" x14ac:dyDescent="0.35">
      <c r="A470" s="2" t="s">
        <v>412</v>
      </c>
      <c r="B470">
        <v>0.02</v>
      </c>
      <c r="C470">
        <v>0.02</v>
      </c>
      <c r="D470">
        <v>0.02</v>
      </c>
      <c r="E470">
        <v>0.02</v>
      </c>
      <c r="F470">
        <v>0.02</v>
      </c>
      <c r="G470">
        <v>0.02</v>
      </c>
      <c r="H470">
        <v>0.02</v>
      </c>
      <c r="I470">
        <v>0.02</v>
      </c>
      <c r="J470">
        <v>0.02</v>
      </c>
      <c r="K470">
        <v>0.02</v>
      </c>
      <c r="L470">
        <v>0.02</v>
      </c>
      <c r="M470">
        <v>0.02</v>
      </c>
      <c r="N470">
        <v>0.02</v>
      </c>
      <c r="O470">
        <v>0.02</v>
      </c>
      <c r="P470">
        <v>0.02</v>
      </c>
      <c r="Q470">
        <v>0.02</v>
      </c>
      <c r="R470">
        <v>0.02</v>
      </c>
      <c r="S470">
        <v>0.02</v>
      </c>
      <c r="T470">
        <v>0.02</v>
      </c>
      <c r="U470">
        <v>0.02</v>
      </c>
      <c r="V470">
        <v>0.02</v>
      </c>
      <c r="W470">
        <v>0.02</v>
      </c>
    </row>
    <row r="471" spans="1:23" x14ac:dyDescent="0.35">
      <c r="A471" s="2" t="s">
        <v>413</v>
      </c>
      <c r="B471">
        <v>0.76</v>
      </c>
      <c r="C471">
        <v>0.78</v>
      </c>
      <c r="D471">
        <v>0.78</v>
      </c>
      <c r="E471">
        <v>0.79</v>
      </c>
      <c r="F471">
        <v>0.79</v>
      </c>
      <c r="G471">
        <v>0.79</v>
      </c>
      <c r="H471">
        <v>0.79</v>
      </c>
      <c r="I471">
        <v>0.79</v>
      </c>
      <c r="J471">
        <v>0.79</v>
      </c>
      <c r="K471">
        <v>0.78</v>
      </c>
      <c r="L471">
        <v>0.83</v>
      </c>
      <c r="M471">
        <v>0.86</v>
      </c>
      <c r="N471">
        <v>0.89</v>
      </c>
      <c r="O471">
        <v>0.93</v>
      </c>
      <c r="P471">
        <v>0.98</v>
      </c>
      <c r="Q471">
        <v>1.01</v>
      </c>
      <c r="R471">
        <v>1.04</v>
      </c>
      <c r="S471">
        <v>1.02</v>
      </c>
      <c r="T471">
        <v>1.03</v>
      </c>
      <c r="U471">
        <v>1.05</v>
      </c>
      <c r="V471">
        <v>1.04</v>
      </c>
      <c r="W471">
        <v>1.03</v>
      </c>
    </row>
    <row r="472" spans="1:23" x14ac:dyDescent="0.35">
      <c r="A472" s="2" t="s">
        <v>845</v>
      </c>
      <c r="B472">
        <v>29.55</v>
      </c>
      <c r="C472">
        <v>29.43</v>
      </c>
      <c r="D472">
        <v>29.93</v>
      </c>
      <c r="E472">
        <v>30.44</v>
      </c>
      <c r="F472">
        <v>30.51</v>
      </c>
      <c r="G472">
        <v>30.98</v>
      </c>
      <c r="H472">
        <v>31.1</v>
      </c>
      <c r="I472">
        <v>31.1</v>
      </c>
      <c r="J472">
        <v>31.1</v>
      </c>
      <c r="K472">
        <v>31.31</v>
      </c>
      <c r="L472">
        <v>31.34</v>
      </c>
      <c r="M472">
        <v>30.98</v>
      </c>
      <c r="N472">
        <v>30.96</v>
      </c>
      <c r="O472">
        <v>30.96</v>
      </c>
      <c r="P472">
        <v>31.62</v>
      </c>
      <c r="Q472">
        <v>32.090000000000003</v>
      </c>
      <c r="R472">
        <v>32.020000000000003</v>
      </c>
      <c r="S472">
        <v>32.18</v>
      </c>
      <c r="T472">
        <v>32.21</v>
      </c>
      <c r="U472">
        <v>32.11</v>
      </c>
      <c r="V472">
        <v>32.28</v>
      </c>
      <c r="W472">
        <v>32.4</v>
      </c>
    </row>
    <row r="473" spans="1:23" x14ac:dyDescent="0.35">
      <c r="A473" s="2" t="s">
        <v>414</v>
      </c>
      <c r="B473">
        <v>3.14</v>
      </c>
      <c r="C473">
        <v>3.14</v>
      </c>
      <c r="D473">
        <v>3.32</v>
      </c>
      <c r="E473">
        <v>3.28</v>
      </c>
      <c r="F473">
        <v>3.25</v>
      </c>
      <c r="G473">
        <v>3.18</v>
      </c>
      <c r="H473">
        <v>3.14</v>
      </c>
      <c r="I473">
        <v>3.1</v>
      </c>
      <c r="J473">
        <v>3.03</v>
      </c>
      <c r="K473">
        <v>2.99</v>
      </c>
      <c r="L473">
        <v>3.02</v>
      </c>
      <c r="M473">
        <v>3.01</v>
      </c>
      <c r="N473">
        <v>3.03</v>
      </c>
      <c r="O473">
        <v>3.13</v>
      </c>
      <c r="P473">
        <v>3.17</v>
      </c>
      <c r="Q473">
        <v>3.17</v>
      </c>
      <c r="R473">
        <v>3.15</v>
      </c>
      <c r="S473">
        <v>3.11</v>
      </c>
      <c r="T473">
        <v>3.12</v>
      </c>
      <c r="U473">
        <v>3.09</v>
      </c>
      <c r="V473">
        <v>3.09</v>
      </c>
      <c r="W473">
        <v>3.07</v>
      </c>
    </row>
    <row r="474" spans="1:23" x14ac:dyDescent="0.35">
      <c r="A474" s="2" t="s">
        <v>415</v>
      </c>
      <c r="B474">
        <v>2.04</v>
      </c>
      <c r="C474">
        <v>2.12</v>
      </c>
      <c r="D474">
        <v>2.2000000000000002</v>
      </c>
      <c r="E474">
        <v>2.37</v>
      </c>
      <c r="F474">
        <v>2.2999999999999998</v>
      </c>
      <c r="G474">
        <v>2.21</v>
      </c>
      <c r="H474">
        <v>2.15</v>
      </c>
      <c r="I474">
        <v>2.11</v>
      </c>
      <c r="J474">
        <v>2.08</v>
      </c>
      <c r="K474">
        <v>2.0699999999999998</v>
      </c>
      <c r="L474">
        <v>2.09</v>
      </c>
      <c r="M474">
        <v>2.1</v>
      </c>
      <c r="N474">
        <v>2.14</v>
      </c>
      <c r="O474">
        <v>2.16</v>
      </c>
      <c r="P474">
        <v>2.11</v>
      </c>
      <c r="Q474">
        <v>2.1</v>
      </c>
      <c r="R474">
        <v>2.1</v>
      </c>
      <c r="S474">
        <v>2.08</v>
      </c>
      <c r="T474">
        <v>2.06</v>
      </c>
      <c r="U474">
        <v>2.06</v>
      </c>
      <c r="V474">
        <v>2.09</v>
      </c>
      <c r="W474">
        <v>2.08</v>
      </c>
    </row>
    <row r="475" spans="1:23" x14ac:dyDescent="0.35">
      <c r="A475" s="2" t="s">
        <v>416</v>
      </c>
      <c r="B475">
        <v>0.31</v>
      </c>
      <c r="C475">
        <v>0.31</v>
      </c>
      <c r="D475">
        <v>0.31</v>
      </c>
      <c r="E475">
        <v>0.31</v>
      </c>
      <c r="F475">
        <v>0.31</v>
      </c>
      <c r="G475">
        <v>0.31</v>
      </c>
      <c r="H475">
        <v>0.31</v>
      </c>
      <c r="I475">
        <v>0.31</v>
      </c>
      <c r="J475">
        <v>0.31</v>
      </c>
      <c r="K475">
        <v>0.31</v>
      </c>
      <c r="L475">
        <v>0.31</v>
      </c>
      <c r="M475">
        <v>0.31</v>
      </c>
      <c r="N475">
        <v>0.31</v>
      </c>
      <c r="O475">
        <v>0.31</v>
      </c>
      <c r="P475">
        <v>0.31</v>
      </c>
      <c r="Q475">
        <v>0.31</v>
      </c>
      <c r="R475">
        <v>0.31</v>
      </c>
      <c r="S475">
        <v>0.31</v>
      </c>
      <c r="T475">
        <v>0.31</v>
      </c>
      <c r="U475">
        <v>0.31</v>
      </c>
      <c r="V475">
        <v>0.31</v>
      </c>
      <c r="W475">
        <v>0.31</v>
      </c>
    </row>
    <row r="476" spans="1:23" x14ac:dyDescent="0.35">
      <c r="A476" s="2" t="s">
        <v>417</v>
      </c>
      <c r="B476">
        <v>1.2</v>
      </c>
      <c r="C476">
        <v>1.2</v>
      </c>
      <c r="D476">
        <v>1.2</v>
      </c>
      <c r="E476">
        <v>1.22</v>
      </c>
      <c r="F476">
        <v>1.23</v>
      </c>
      <c r="G476">
        <v>1.28</v>
      </c>
      <c r="H476">
        <v>1.27</v>
      </c>
      <c r="I476">
        <v>1.27</v>
      </c>
      <c r="J476">
        <v>1.24</v>
      </c>
      <c r="K476">
        <v>1.24</v>
      </c>
      <c r="L476">
        <v>1.23</v>
      </c>
      <c r="M476">
        <v>1.22</v>
      </c>
      <c r="N476">
        <v>1.22</v>
      </c>
      <c r="O476">
        <v>1.22</v>
      </c>
      <c r="P476">
        <v>1.2</v>
      </c>
      <c r="Q476">
        <v>1.2</v>
      </c>
      <c r="R476">
        <v>1.2</v>
      </c>
      <c r="S476">
        <v>1.2</v>
      </c>
      <c r="T476">
        <v>1.2</v>
      </c>
      <c r="U476">
        <v>1.2</v>
      </c>
      <c r="V476">
        <v>1.21</v>
      </c>
      <c r="W476">
        <v>1.21</v>
      </c>
    </row>
    <row r="477" spans="1:23" x14ac:dyDescent="0.35">
      <c r="A477" s="2" t="s">
        <v>418</v>
      </c>
      <c r="B477">
        <v>9.1999999999999993</v>
      </c>
      <c r="C477">
        <v>9.1199999999999992</v>
      </c>
      <c r="D477">
        <v>9.08</v>
      </c>
      <c r="E477">
        <v>9.18</v>
      </c>
      <c r="F477">
        <v>9.2200000000000006</v>
      </c>
      <c r="G477">
        <v>9.25</v>
      </c>
      <c r="H477">
        <v>9.25</v>
      </c>
      <c r="I477">
        <v>9.2899999999999991</v>
      </c>
      <c r="J477">
        <v>9.2100000000000009</v>
      </c>
      <c r="K477">
        <v>9.2200000000000006</v>
      </c>
      <c r="L477">
        <v>9.16</v>
      </c>
      <c r="M477">
        <v>9.11</v>
      </c>
      <c r="N477">
        <v>9.0399999999999991</v>
      </c>
      <c r="O477">
        <v>9.01</v>
      </c>
      <c r="P477">
        <v>9.01</v>
      </c>
      <c r="Q477">
        <v>9.11</v>
      </c>
      <c r="R477">
        <v>9.07</v>
      </c>
      <c r="S477">
        <v>9.11</v>
      </c>
      <c r="T477">
        <v>9.11</v>
      </c>
      <c r="U477">
        <v>9.11</v>
      </c>
      <c r="V477">
        <v>9.07</v>
      </c>
      <c r="W477">
        <v>9.15</v>
      </c>
    </row>
    <row r="478" spans="1:23" x14ac:dyDescent="0.35">
      <c r="A478" s="2" t="s">
        <v>419</v>
      </c>
      <c r="B478">
        <v>0.25</v>
      </c>
      <c r="C478">
        <v>0.25</v>
      </c>
      <c r="D478">
        <v>0.25</v>
      </c>
      <c r="E478">
        <v>0.25</v>
      </c>
      <c r="F478">
        <v>0.25</v>
      </c>
      <c r="G478">
        <v>0.25</v>
      </c>
      <c r="H478">
        <v>0.25</v>
      </c>
      <c r="I478">
        <v>0.25</v>
      </c>
      <c r="J478">
        <v>0.26</v>
      </c>
      <c r="K478">
        <v>0.26</v>
      </c>
      <c r="L478">
        <v>0.26</v>
      </c>
      <c r="M478">
        <v>0.26</v>
      </c>
      <c r="N478">
        <v>0.26</v>
      </c>
      <c r="O478">
        <v>0.26</v>
      </c>
      <c r="P478">
        <v>0.26</v>
      </c>
      <c r="Q478">
        <v>0.26</v>
      </c>
      <c r="R478">
        <v>0.26</v>
      </c>
      <c r="S478">
        <v>0.26</v>
      </c>
      <c r="T478">
        <v>0.26</v>
      </c>
      <c r="U478">
        <v>0.26</v>
      </c>
      <c r="V478">
        <v>0.26</v>
      </c>
      <c r="W478">
        <v>0.26</v>
      </c>
    </row>
    <row r="479" spans="1:23" x14ac:dyDescent="0.35">
      <c r="A479" s="2" t="s">
        <v>420</v>
      </c>
      <c r="B479">
        <v>5.91</v>
      </c>
      <c r="C479">
        <v>5.91</v>
      </c>
      <c r="D479">
        <v>5.91</v>
      </c>
      <c r="E479">
        <v>6.59</v>
      </c>
      <c r="F479">
        <v>6.61</v>
      </c>
      <c r="G479">
        <v>6.61</v>
      </c>
      <c r="H479">
        <v>6.61</v>
      </c>
      <c r="I479">
        <v>6.61</v>
      </c>
      <c r="J479">
        <v>6.61</v>
      </c>
      <c r="K479">
        <v>6.61</v>
      </c>
      <c r="L479">
        <v>6.62</v>
      </c>
      <c r="M479">
        <v>6.62</v>
      </c>
      <c r="N479">
        <v>6.53</v>
      </c>
      <c r="O479">
        <v>6.53</v>
      </c>
      <c r="P479">
        <v>6.53</v>
      </c>
      <c r="Q479">
        <v>6.61</v>
      </c>
      <c r="R479">
        <v>6.61</v>
      </c>
      <c r="S479">
        <v>6.76</v>
      </c>
      <c r="T479">
        <v>7.12</v>
      </c>
      <c r="U479">
        <v>6.9</v>
      </c>
      <c r="V479">
        <v>6.37</v>
      </c>
      <c r="W479">
        <v>6.4</v>
      </c>
    </row>
    <row r="480" spans="1:23" x14ac:dyDescent="0.35">
      <c r="A480" s="2" t="s">
        <v>421</v>
      </c>
      <c r="B480">
        <v>32.799999999999997</v>
      </c>
      <c r="C480">
        <v>32.549999999999997</v>
      </c>
      <c r="D480">
        <v>32.33</v>
      </c>
      <c r="E480">
        <v>32.909999999999997</v>
      </c>
      <c r="F480">
        <v>32.549999999999997</v>
      </c>
      <c r="G480">
        <v>32.85</v>
      </c>
      <c r="H480">
        <v>33.92</v>
      </c>
      <c r="I480">
        <v>33.89</v>
      </c>
      <c r="J480">
        <v>33.950000000000003</v>
      </c>
      <c r="K480">
        <v>33.869999999999997</v>
      </c>
      <c r="L480">
        <v>33.700000000000003</v>
      </c>
      <c r="M480">
        <v>33.950000000000003</v>
      </c>
      <c r="N480">
        <v>34.14</v>
      </c>
      <c r="O480">
        <v>34.520000000000003</v>
      </c>
      <c r="P480">
        <v>34.880000000000003</v>
      </c>
      <c r="Q480">
        <v>35.01</v>
      </c>
      <c r="R480">
        <v>34.49</v>
      </c>
      <c r="S480">
        <v>34.380000000000003</v>
      </c>
      <c r="T480">
        <v>34.17</v>
      </c>
      <c r="U480">
        <v>34.44</v>
      </c>
      <c r="V480">
        <v>34.549999999999997</v>
      </c>
      <c r="W480">
        <v>34.36</v>
      </c>
    </row>
    <row r="481" spans="1:23" x14ac:dyDescent="0.35">
      <c r="A481" s="2" t="s">
        <v>422</v>
      </c>
      <c r="B481">
        <v>0.63</v>
      </c>
      <c r="C481">
        <v>0.63</v>
      </c>
      <c r="D481">
        <v>0.63</v>
      </c>
      <c r="E481">
        <v>0.63</v>
      </c>
      <c r="F481">
        <v>0.63</v>
      </c>
      <c r="G481">
        <v>0.63</v>
      </c>
      <c r="H481">
        <v>0.63</v>
      </c>
      <c r="I481">
        <v>0.64</v>
      </c>
      <c r="J481">
        <v>0.65</v>
      </c>
      <c r="K481">
        <v>0.63</v>
      </c>
      <c r="L481">
        <v>0.63</v>
      </c>
      <c r="M481">
        <v>0.63</v>
      </c>
      <c r="N481">
        <v>0.63</v>
      </c>
      <c r="O481">
        <v>0.61</v>
      </c>
      <c r="P481">
        <v>0.63</v>
      </c>
      <c r="Q481">
        <v>0.63</v>
      </c>
      <c r="R481">
        <v>0.63</v>
      </c>
      <c r="S481">
        <v>0.63</v>
      </c>
      <c r="T481">
        <v>0.63</v>
      </c>
      <c r="U481">
        <v>0.61</v>
      </c>
      <c r="V481">
        <v>0.61</v>
      </c>
      <c r="W481">
        <v>0.61</v>
      </c>
    </row>
    <row r="482" spans="1:23" x14ac:dyDescent="0.35">
      <c r="A482" s="2" t="s">
        <v>423</v>
      </c>
      <c r="B482">
        <v>0.47</v>
      </c>
      <c r="C482">
        <v>0.47</v>
      </c>
      <c r="D482">
        <v>0.48</v>
      </c>
      <c r="E482">
        <v>0.48</v>
      </c>
      <c r="F482">
        <v>0.47</v>
      </c>
      <c r="G482">
        <v>0.47</v>
      </c>
      <c r="H482">
        <v>0.47</v>
      </c>
      <c r="I482">
        <v>0.48</v>
      </c>
      <c r="J482">
        <v>0.48</v>
      </c>
      <c r="K482">
        <v>0.48</v>
      </c>
      <c r="L482">
        <v>0.48</v>
      </c>
      <c r="M482">
        <v>0.49</v>
      </c>
      <c r="N482">
        <v>0.48</v>
      </c>
      <c r="O482">
        <v>0.48</v>
      </c>
      <c r="P482">
        <v>0.5</v>
      </c>
      <c r="Q482">
        <v>0.49</v>
      </c>
      <c r="R482">
        <v>0.49</v>
      </c>
      <c r="S482">
        <v>0.49</v>
      </c>
      <c r="T482">
        <v>0.51</v>
      </c>
      <c r="U482">
        <v>0.51</v>
      </c>
      <c r="V482">
        <v>0.53</v>
      </c>
      <c r="W482">
        <v>0.52</v>
      </c>
    </row>
    <row r="483" spans="1:23" x14ac:dyDescent="0.35">
      <c r="A483" s="2" t="s">
        <v>424</v>
      </c>
      <c r="B483">
        <v>3</v>
      </c>
      <c r="C483">
        <v>3.04</v>
      </c>
      <c r="D483">
        <v>3.04</v>
      </c>
      <c r="E483">
        <v>3.04</v>
      </c>
      <c r="F483">
        <v>2.98</v>
      </c>
      <c r="G483">
        <v>3.06</v>
      </c>
      <c r="H483">
        <v>3.09</v>
      </c>
      <c r="I483">
        <v>3.14</v>
      </c>
      <c r="J483">
        <v>3.14</v>
      </c>
      <c r="K483">
        <v>3.14</v>
      </c>
      <c r="L483">
        <v>3.12</v>
      </c>
      <c r="M483">
        <v>3.12</v>
      </c>
      <c r="N483">
        <v>3.12</v>
      </c>
      <c r="O483">
        <v>3.22</v>
      </c>
      <c r="P483">
        <v>3.24</v>
      </c>
      <c r="Q483">
        <v>3.24</v>
      </c>
      <c r="R483">
        <v>3.24</v>
      </c>
      <c r="S483">
        <v>3.25</v>
      </c>
      <c r="T483">
        <v>3.25</v>
      </c>
      <c r="U483">
        <v>3.25</v>
      </c>
      <c r="V483">
        <v>3.25</v>
      </c>
      <c r="W483">
        <v>3.25</v>
      </c>
    </row>
    <row r="484" spans="1:23" x14ac:dyDescent="0.35">
      <c r="A484" s="2" t="s">
        <v>425</v>
      </c>
      <c r="B484">
        <v>1.21</v>
      </c>
      <c r="C484">
        <v>1.21</v>
      </c>
      <c r="D484">
        <v>1.21</v>
      </c>
      <c r="E484">
        <v>1.21</v>
      </c>
      <c r="F484">
        <v>1.21</v>
      </c>
      <c r="G484">
        <v>1.21</v>
      </c>
      <c r="H484">
        <v>1.21</v>
      </c>
      <c r="I484">
        <v>1.21</v>
      </c>
      <c r="J484">
        <v>1.21</v>
      </c>
      <c r="K484">
        <v>1.21</v>
      </c>
      <c r="L484">
        <v>1.21</v>
      </c>
      <c r="M484">
        <v>1.21</v>
      </c>
      <c r="N484">
        <v>1.21</v>
      </c>
      <c r="O484">
        <v>1.21</v>
      </c>
      <c r="P484">
        <v>1.21</v>
      </c>
      <c r="Q484">
        <v>1.21</v>
      </c>
      <c r="R484">
        <v>1.21</v>
      </c>
      <c r="S484">
        <v>1.21</v>
      </c>
      <c r="T484">
        <v>1.21</v>
      </c>
      <c r="U484">
        <v>1.21</v>
      </c>
      <c r="V484">
        <v>1.21</v>
      </c>
      <c r="W484">
        <v>1.21</v>
      </c>
    </row>
    <row r="485" spans="1:23" x14ac:dyDescent="0.35">
      <c r="A485" s="2" t="s">
        <v>426</v>
      </c>
      <c r="B485">
        <v>8.68</v>
      </c>
      <c r="C485">
        <v>8.75</v>
      </c>
      <c r="D485">
        <v>8.73</v>
      </c>
      <c r="E485">
        <v>8.77</v>
      </c>
      <c r="F485">
        <v>9.81</v>
      </c>
      <c r="G485">
        <v>10.01</v>
      </c>
      <c r="H485">
        <v>10.07</v>
      </c>
      <c r="I485">
        <v>10.23</v>
      </c>
      <c r="J485">
        <v>10.3</v>
      </c>
      <c r="K485">
        <v>10.23</v>
      </c>
      <c r="L485">
        <v>10.34</v>
      </c>
      <c r="M485">
        <v>10.23</v>
      </c>
      <c r="N485">
        <v>10.45</v>
      </c>
      <c r="O485">
        <v>10.5</v>
      </c>
      <c r="P485">
        <v>10.52</v>
      </c>
      <c r="Q485">
        <v>10.45</v>
      </c>
      <c r="R485">
        <v>10.48</v>
      </c>
      <c r="S485">
        <v>10.68</v>
      </c>
      <c r="T485">
        <v>10.93</v>
      </c>
      <c r="U485">
        <v>10.93</v>
      </c>
      <c r="V485">
        <v>10.9</v>
      </c>
      <c r="W485">
        <v>10.95</v>
      </c>
    </row>
    <row r="486" spans="1:23" x14ac:dyDescent="0.35">
      <c r="A486" s="2" t="s">
        <v>427</v>
      </c>
      <c r="B486">
        <v>17.62</v>
      </c>
      <c r="C486">
        <v>17.690000000000001</v>
      </c>
      <c r="D486">
        <v>17.690000000000001</v>
      </c>
      <c r="E486">
        <v>17.690000000000001</v>
      </c>
      <c r="F486">
        <v>17.47</v>
      </c>
      <c r="G486">
        <v>17.329999999999998</v>
      </c>
      <c r="H486">
        <v>17.170000000000002</v>
      </c>
      <c r="I486">
        <v>17.78</v>
      </c>
      <c r="J486">
        <v>17.78</v>
      </c>
      <c r="K486">
        <v>17.73</v>
      </c>
      <c r="L486">
        <v>16.79</v>
      </c>
      <c r="M486">
        <v>16.79</v>
      </c>
      <c r="N486">
        <v>16.79</v>
      </c>
      <c r="O486">
        <v>16.79</v>
      </c>
      <c r="P486">
        <v>16.79</v>
      </c>
      <c r="Q486">
        <v>16.89</v>
      </c>
      <c r="R486">
        <v>16.89</v>
      </c>
      <c r="S486">
        <v>16.89</v>
      </c>
      <c r="T486">
        <v>16.89</v>
      </c>
      <c r="U486">
        <v>16.940000000000001</v>
      </c>
      <c r="V486">
        <v>16.940000000000001</v>
      </c>
      <c r="W486">
        <v>16.97</v>
      </c>
    </row>
    <row r="487" spans="1:23" x14ac:dyDescent="0.35">
      <c r="A487" s="2" t="s">
        <v>428</v>
      </c>
      <c r="B487">
        <v>20.309999999999999</v>
      </c>
      <c r="C487">
        <v>19.71</v>
      </c>
      <c r="D487">
        <v>20.39</v>
      </c>
      <c r="E487">
        <v>20.23</v>
      </c>
      <c r="F487">
        <v>19.68</v>
      </c>
      <c r="G487">
        <v>19.82</v>
      </c>
      <c r="H487">
        <v>19.87</v>
      </c>
      <c r="I487">
        <v>20.58</v>
      </c>
      <c r="J487">
        <v>20.58</v>
      </c>
      <c r="K487">
        <v>21.06</v>
      </c>
      <c r="L487">
        <v>21.23</v>
      </c>
      <c r="M487">
        <v>21.03</v>
      </c>
      <c r="N487">
        <v>20.77</v>
      </c>
      <c r="O487">
        <v>20.79</v>
      </c>
      <c r="P487">
        <v>21.16</v>
      </c>
      <c r="Q487">
        <v>21.96</v>
      </c>
      <c r="R487">
        <v>21.95</v>
      </c>
      <c r="S487">
        <v>21.52</v>
      </c>
      <c r="T487">
        <v>22.12</v>
      </c>
      <c r="U487">
        <v>22.27</v>
      </c>
      <c r="V487">
        <v>22.47</v>
      </c>
      <c r="W487">
        <v>22.12</v>
      </c>
    </row>
    <row r="488" spans="1:23" x14ac:dyDescent="0.35">
      <c r="A488" s="2" t="s">
        <v>846</v>
      </c>
      <c r="B488">
        <v>63.25</v>
      </c>
      <c r="C488">
        <v>63.11</v>
      </c>
      <c r="D488">
        <v>63.48</v>
      </c>
      <c r="E488">
        <v>63.34</v>
      </c>
      <c r="F488">
        <v>63.62</v>
      </c>
      <c r="G488">
        <v>64.180000000000007</v>
      </c>
      <c r="H488">
        <v>64.45</v>
      </c>
      <c r="I488">
        <v>64.92</v>
      </c>
      <c r="J488">
        <v>65.099999999999994</v>
      </c>
      <c r="K488">
        <v>65.47</v>
      </c>
      <c r="L488">
        <v>65.89</v>
      </c>
      <c r="M488">
        <v>65.94</v>
      </c>
      <c r="N488">
        <v>65.89</v>
      </c>
      <c r="O488">
        <v>66.59</v>
      </c>
      <c r="P488">
        <v>66.77</v>
      </c>
      <c r="Q488">
        <v>66.400000000000006</v>
      </c>
      <c r="R488">
        <v>66.959999999999994</v>
      </c>
      <c r="S488">
        <v>66.73</v>
      </c>
      <c r="T488">
        <v>66.91</v>
      </c>
      <c r="U488">
        <v>66.819999999999993</v>
      </c>
      <c r="V488">
        <v>67.010000000000005</v>
      </c>
      <c r="W488">
        <v>66.819999999999993</v>
      </c>
    </row>
    <row r="489" spans="1:23" x14ac:dyDescent="0.35">
      <c r="A489" s="2" t="s">
        <v>429</v>
      </c>
      <c r="B489">
        <v>14.21</v>
      </c>
      <c r="C489">
        <v>14.21</v>
      </c>
      <c r="D489">
        <v>14.21</v>
      </c>
      <c r="E489">
        <v>14.21</v>
      </c>
      <c r="F489">
        <v>14.34</v>
      </c>
      <c r="G489">
        <v>14.34</v>
      </c>
      <c r="H489">
        <v>14.34</v>
      </c>
      <c r="I489">
        <v>14.34</v>
      </c>
      <c r="J489">
        <v>14.58</v>
      </c>
      <c r="K489">
        <v>14.75</v>
      </c>
      <c r="L489">
        <v>15.12</v>
      </c>
      <c r="M489">
        <v>15.12</v>
      </c>
      <c r="N489">
        <v>15.03</v>
      </c>
      <c r="O489">
        <v>15.23</v>
      </c>
      <c r="P489">
        <v>15.25</v>
      </c>
      <c r="Q489">
        <v>15.31</v>
      </c>
      <c r="R489">
        <v>15.29</v>
      </c>
      <c r="S489">
        <v>15.25</v>
      </c>
      <c r="T489">
        <v>15.3</v>
      </c>
      <c r="U489">
        <v>15.17</v>
      </c>
      <c r="V489">
        <v>15.17</v>
      </c>
      <c r="W489">
        <v>15.17</v>
      </c>
    </row>
    <row r="490" spans="1:23" x14ac:dyDescent="0.35">
      <c r="A490" s="2" t="s">
        <v>430</v>
      </c>
      <c r="B490">
        <v>79.2</v>
      </c>
      <c r="C490">
        <v>79.2</v>
      </c>
      <c r="D490">
        <v>80.23</v>
      </c>
      <c r="E490">
        <v>79.61</v>
      </c>
      <c r="F490">
        <v>79.819999999999993</v>
      </c>
      <c r="G490">
        <v>79.75</v>
      </c>
      <c r="H490">
        <v>79.819999999999993</v>
      </c>
      <c r="I490">
        <v>79.819999999999993</v>
      </c>
      <c r="J490">
        <v>79.680000000000007</v>
      </c>
      <c r="K490">
        <v>79.819999999999993</v>
      </c>
      <c r="L490">
        <v>79.95</v>
      </c>
      <c r="M490">
        <v>79.41</v>
      </c>
      <c r="N490">
        <v>79.95</v>
      </c>
      <c r="O490">
        <v>79.95</v>
      </c>
      <c r="P490">
        <v>79.819999999999993</v>
      </c>
      <c r="Q490">
        <v>79.819999999999993</v>
      </c>
      <c r="R490">
        <v>79.680000000000007</v>
      </c>
      <c r="S490">
        <v>79.680000000000007</v>
      </c>
      <c r="T490">
        <v>79.680000000000007</v>
      </c>
      <c r="U490">
        <v>79.680000000000007</v>
      </c>
      <c r="V490">
        <v>79.680000000000007</v>
      </c>
      <c r="W490">
        <v>79.680000000000007</v>
      </c>
    </row>
    <row r="491" spans="1:23" x14ac:dyDescent="0.35">
      <c r="A491" s="2" t="s">
        <v>431</v>
      </c>
      <c r="B491">
        <v>101.82</v>
      </c>
      <c r="C491">
        <v>101.99</v>
      </c>
      <c r="D491">
        <v>102.82</v>
      </c>
      <c r="E491">
        <v>105.06</v>
      </c>
      <c r="F491">
        <v>105.81</v>
      </c>
      <c r="G491">
        <v>105.81</v>
      </c>
      <c r="H491">
        <v>105.97</v>
      </c>
      <c r="I491">
        <v>106.22</v>
      </c>
      <c r="J491">
        <v>106.22</v>
      </c>
      <c r="K491">
        <v>107.05</v>
      </c>
      <c r="L491">
        <v>105.31</v>
      </c>
      <c r="M491">
        <v>105.72</v>
      </c>
      <c r="N491">
        <v>102.07</v>
      </c>
      <c r="O491">
        <v>102.82</v>
      </c>
      <c r="P491">
        <v>103.48</v>
      </c>
      <c r="Q491">
        <v>102.82</v>
      </c>
      <c r="R491">
        <v>102.73</v>
      </c>
      <c r="S491">
        <v>101.99</v>
      </c>
      <c r="T491">
        <v>101.4</v>
      </c>
      <c r="U491">
        <v>99.41</v>
      </c>
      <c r="V491">
        <v>99.41</v>
      </c>
      <c r="W491">
        <v>98</v>
      </c>
    </row>
    <row r="492" spans="1:23" x14ac:dyDescent="0.35">
      <c r="A492" s="2" t="s">
        <v>432</v>
      </c>
      <c r="B492">
        <v>13.72</v>
      </c>
      <c r="C492">
        <v>13.8</v>
      </c>
      <c r="D492">
        <v>13.58</v>
      </c>
      <c r="E492">
        <v>14.23</v>
      </c>
      <c r="F492">
        <v>14.8</v>
      </c>
      <c r="G492">
        <v>14.42</v>
      </c>
      <c r="H492">
        <v>14.62</v>
      </c>
      <c r="I492">
        <v>14.87</v>
      </c>
      <c r="J492">
        <v>14.94</v>
      </c>
      <c r="K492">
        <v>14.96</v>
      </c>
      <c r="L492">
        <v>14.72</v>
      </c>
      <c r="M492">
        <v>14.61</v>
      </c>
      <c r="N492">
        <v>14.35</v>
      </c>
      <c r="O492">
        <v>13.97</v>
      </c>
      <c r="P492">
        <v>14.29</v>
      </c>
      <c r="Q492">
        <v>14.37</v>
      </c>
      <c r="R492">
        <v>14.28</v>
      </c>
      <c r="S492">
        <v>14.58</v>
      </c>
      <c r="T492">
        <v>14.45</v>
      </c>
      <c r="U492">
        <v>14.34</v>
      </c>
      <c r="V492">
        <v>14.35</v>
      </c>
      <c r="W492">
        <v>13.94</v>
      </c>
    </row>
    <row r="493" spans="1:23" x14ac:dyDescent="0.35">
      <c r="A493" s="2" t="s">
        <v>433</v>
      </c>
      <c r="B493">
        <v>2.74</v>
      </c>
      <c r="C493">
        <v>2.74</v>
      </c>
      <c r="D493">
        <v>2.81</v>
      </c>
      <c r="E493">
        <v>2.82</v>
      </c>
      <c r="F493">
        <v>2.87</v>
      </c>
      <c r="G493">
        <v>2.88</v>
      </c>
      <c r="H493">
        <v>2.91</v>
      </c>
      <c r="I493">
        <v>2.9</v>
      </c>
      <c r="J493">
        <v>2.92</v>
      </c>
      <c r="K493">
        <v>2.93</v>
      </c>
      <c r="L493">
        <v>2.97</v>
      </c>
      <c r="M493">
        <v>2.97</v>
      </c>
      <c r="N493">
        <v>2.98</v>
      </c>
      <c r="O493">
        <v>3</v>
      </c>
      <c r="P493">
        <v>2.98</v>
      </c>
      <c r="Q493">
        <v>2.98</v>
      </c>
      <c r="R493">
        <v>2.97</v>
      </c>
      <c r="S493">
        <v>2.98</v>
      </c>
      <c r="T493">
        <v>3.02</v>
      </c>
      <c r="U493">
        <v>3.01</v>
      </c>
      <c r="V493">
        <v>3.05</v>
      </c>
      <c r="W493">
        <v>3.05</v>
      </c>
    </row>
    <row r="494" spans="1:23" x14ac:dyDescent="0.35">
      <c r="A494" s="2" t="s">
        <v>434</v>
      </c>
      <c r="B494">
        <v>5.97</v>
      </c>
      <c r="C494">
        <v>5.88</v>
      </c>
      <c r="D494">
        <v>5.8</v>
      </c>
      <c r="E494">
        <v>5.95</v>
      </c>
      <c r="F494">
        <v>5.91</v>
      </c>
      <c r="G494">
        <v>5.87</v>
      </c>
      <c r="H494">
        <v>5.99</v>
      </c>
      <c r="I494">
        <v>5.81</v>
      </c>
      <c r="J494">
        <v>5.81</v>
      </c>
      <c r="K494">
        <v>5.89</v>
      </c>
      <c r="L494">
        <v>5.82</v>
      </c>
      <c r="M494">
        <v>5.88</v>
      </c>
      <c r="N494">
        <v>5.88</v>
      </c>
      <c r="O494">
        <v>5.68</v>
      </c>
      <c r="P494">
        <v>5.68</v>
      </c>
      <c r="Q494">
        <v>5.64</v>
      </c>
      <c r="R494">
        <v>5.67</v>
      </c>
      <c r="S494">
        <v>5.71</v>
      </c>
      <c r="T494">
        <v>5.63</v>
      </c>
      <c r="U494">
        <v>5.64</v>
      </c>
      <c r="V494">
        <v>5.67</v>
      </c>
      <c r="W494">
        <v>5.9</v>
      </c>
    </row>
    <row r="495" spans="1:23" x14ac:dyDescent="0.35">
      <c r="A495" s="2" t="s">
        <v>435</v>
      </c>
      <c r="B495">
        <v>2.92</v>
      </c>
      <c r="C495">
        <v>2.92</v>
      </c>
      <c r="D495">
        <v>2.92</v>
      </c>
      <c r="E495">
        <v>2.92</v>
      </c>
      <c r="F495">
        <v>2.92</v>
      </c>
      <c r="G495">
        <v>2.92</v>
      </c>
      <c r="H495">
        <v>2.92</v>
      </c>
      <c r="I495">
        <v>3.12</v>
      </c>
      <c r="J495">
        <v>3.12</v>
      </c>
      <c r="K495">
        <v>2.79</v>
      </c>
      <c r="L495">
        <v>2.79</v>
      </c>
      <c r="M495">
        <v>2.79</v>
      </c>
      <c r="N495">
        <v>3.1</v>
      </c>
      <c r="O495">
        <v>2.79</v>
      </c>
      <c r="P495">
        <v>2.79</v>
      </c>
      <c r="Q495">
        <v>2.79</v>
      </c>
      <c r="R495">
        <v>2.79</v>
      </c>
      <c r="S495">
        <v>2.79</v>
      </c>
      <c r="T495">
        <v>2.79</v>
      </c>
      <c r="U495">
        <v>2.79</v>
      </c>
      <c r="V495">
        <v>2.79</v>
      </c>
      <c r="W495">
        <v>2.79</v>
      </c>
    </row>
    <row r="496" spans="1:23" x14ac:dyDescent="0.35">
      <c r="A496" s="2" t="s">
        <v>436</v>
      </c>
      <c r="B496">
        <v>0.11</v>
      </c>
      <c r="C496">
        <v>0.11</v>
      </c>
      <c r="D496">
        <v>0.11</v>
      </c>
      <c r="E496">
        <v>0.11</v>
      </c>
      <c r="F496">
        <v>0.11</v>
      </c>
      <c r="G496">
        <v>0.12</v>
      </c>
      <c r="H496">
        <v>0.11</v>
      </c>
      <c r="I496">
        <v>0.12</v>
      </c>
      <c r="J496">
        <v>0.11</v>
      </c>
      <c r="K496">
        <v>0.11</v>
      </c>
      <c r="L496">
        <v>0.11</v>
      </c>
      <c r="M496">
        <v>0.11</v>
      </c>
      <c r="N496">
        <v>0.11</v>
      </c>
      <c r="O496">
        <v>0.11</v>
      </c>
      <c r="P496">
        <v>0.11</v>
      </c>
      <c r="Q496">
        <v>0.12</v>
      </c>
      <c r="R496">
        <v>0.11</v>
      </c>
      <c r="S496">
        <v>0.11</v>
      </c>
      <c r="T496">
        <v>0.11</v>
      </c>
      <c r="U496">
        <v>0.11</v>
      </c>
      <c r="V496">
        <v>0.11</v>
      </c>
      <c r="W496">
        <v>0.12</v>
      </c>
    </row>
    <row r="497" spans="1:23" x14ac:dyDescent="0.35">
      <c r="A497" s="2" t="s">
        <v>437</v>
      </c>
      <c r="B497">
        <v>158.41999999999999</v>
      </c>
      <c r="C497">
        <v>160.94</v>
      </c>
      <c r="D497">
        <v>167.93</v>
      </c>
      <c r="E497">
        <v>168.96</v>
      </c>
      <c r="F497">
        <v>165.07</v>
      </c>
      <c r="G497">
        <v>159.91</v>
      </c>
      <c r="H497">
        <v>165.3</v>
      </c>
      <c r="I497">
        <v>169.53</v>
      </c>
      <c r="J497">
        <v>166.56</v>
      </c>
      <c r="K497">
        <v>165.98</v>
      </c>
      <c r="L497">
        <v>168.27</v>
      </c>
      <c r="M497">
        <v>175.38</v>
      </c>
      <c r="N497">
        <v>173.09</v>
      </c>
      <c r="O497">
        <v>176.18</v>
      </c>
      <c r="P497">
        <v>176.41</v>
      </c>
      <c r="Q497">
        <v>182.71</v>
      </c>
      <c r="R497">
        <v>180.87</v>
      </c>
      <c r="S497">
        <v>180.65</v>
      </c>
      <c r="T497">
        <v>173.31</v>
      </c>
      <c r="U497">
        <v>177.21</v>
      </c>
      <c r="V497">
        <v>177.32</v>
      </c>
      <c r="W497">
        <v>175.72</v>
      </c>
    </row>
    <row r="498" spans="1:23" x14ac:dyDescent="0.35">
      <c r="A498" s="2" t="s">
        <v>438</v>
      </c>
      <c r="B498">
        <v>0.3</v>
      </c>
      <c r="C498">
        <v>0.3</v>
      </c>
      <c r="D498">
        <v>0.3</v>
      </c>
      <c r="E498">
        <v>0.3</v>
      </c>
      <c r="F498">
        <v>0.3</v>
      </c>
      <c r="G498">
        <v>0.3</v>
      </c>
      <c r="H498">
        <v>0.32</v>
      </c>
      <c r="I498">
        <v>0.32</v>
      </c>
      <c r="J498">
        <v>0.33</v>
      </c>
      <c r="K498">
        <v>0.33</v>
      </c>
      <c r="L498">
        <v>0.33</v>
      </c>
      <c r="M498">
        <v>0.33</v>
      </c>
      <c r="N498">
        <v>0.33</v>
      </c>
      <c r="O498">
        <v>0.33</v>
      </c>
      <c r="P498">
        <v>0.33</v>
      </c>
      <c r="Q498">
        <v>0.33</v>
      </c>
      <c r="R498">
        <v>0.33</v>
      </c>
      <c r="S498">
        <v>0.33</v>
      </c>
      <c r="T498">
        <v>0.33</v>
      </c>
      <c r="U498">
        <v>0.33</v>
      </c>
      <c r="V498">
        <v>0.34</v>
      </c>
      <c r="W498">
        <v>0.33</v>
      </c>
    </row>
    <row r="499" spans="1:23" x14ac:dyDescent="0.35">
      <c r="A499" s="2" t="s">
        <v>847</v>
      </c>
      <c r="B499">
        <v>0.69</v>
      </c>
      <c r="C499">
        <v>0.69</v>
      </c>
      <c r="D499">
        <v>0.7</v>
      </c>
      <c r="E499">
        <v>0.72</v>
      </c>
      <c r="F499">
        <v>0.71</v>
      </c>
      <c r="G499">
        <v>0.73</v>
      </c>
      <c r="H499">
        <v>0.73</v>
      </c>
      <c r="I499">
        <v>0.72</v>
      </c>
      <c r="J499">
        <v>0.73</v>
      </c>
      <c r="K499">
        <v>0.72</v>
      </c>
      <c r="L499">
        <v>0.72</v>
      </c>
      <c r="M499">
        <v>0.72</v>
      </c>
      <c r="N499">
        <v>0.72</v>
      </c>
      <c r="O499">
        <v>0.72</v>
      </c>
      <c r="P499">
        <v>0.72</v>
      </c>
      <c r="Q499">
        <v>0.73</v>
      </c>
      <c r="R499">
        <v>0.72</v>
      </c>
      <c r="S499">
        <v>0.73</v>
      </c>
      <c r="T499">
        <v>0.73</v>
      </c>
      <c r="U499">
        <v>0.73</v>
      </c>
      <c r="V499">
        <v>0.73</v>
      </c>
      <c r="W499">
        <v>0.72</v>
      </c>
    </row>
    <row r="500" spans="1:23" x14ac:dyDescent="0.35">
      <c r="A500" s="2" t="s">
        <v>439</v>
      </c>
      <c r="B500">
        <v>9.82</v>
      </c>
      <c r="C500">
        <v>10.25</v>
      </c>
      <c r="D500">
        <v>10.59</v>
      </c>
      <c r="E500">
        <v>11.14</v>
      </c>
      <c r="F500">
        <v>11.2</v>
      </c>
      <c r="G500">
        <v>11.13</v>
      </c>
      <c r="H500">
        <v>11.49</v>
      </c>
      <c r="I500">
        <v>11.81</v>
      </c>
      <c r="J500">
        <v>11.9</v>
      </c>
      <c r="K500">
        <v>11.43</v>
      </c>
      <c r="L500">
        <v>12.63</v>
      </c>
      <c r="M500">
        <v>13.27</v>
      </c>
      <c r="N500">
        <v>14.04</v>
      </c>
      <c r="O500">
        <v>14.37</v>
      </c>
      <c r="P500">
        <v>14.33</v>
      </c>
      <c r="Q500">
        <v>14.31</v>
      </c>
      <c r="R500">
        <v>14.4</v>
      </c>
      <c r="S500">
        <v>15.11</v>
      </c>
      <c r="T500">
        <v>15.44</v>
      </c>
      <c r="U500">
        <v>15.34</v>
      </c>
      <c r="V500">
        <v>15.76</v>
      </c>
      <c r="W500">
        <v>15.45</v>
      </c>
    </row>
    <row r="501" spans="1:23" x14ac:dyDescent="0.35">
      <c r="A501" s="2" t="s">
        <v>440</v>
      </c>
      <c r="B501">
        <v>1.6</v>
      </c>
      <c r="C501">
        <v>1.62</v>
      </c>
      <c r="D501">
        <v>1.62</v>
      </c>
      <c r="E501">
        <v>1.61</v>
      </c>
      <c r="F501">
        <v>1.59</v>
      </c>
      <c r="G501">
        <v>1.56</v>
      </c>
      <c r="H501">
        <v>1.51</v>
      </c>
      <c r="I501">
        <v>1.44</v>
      </c>
      <c r="J501">
        <v>1.4</v>
      </c>
      <c r="K501">
        <v>1.43</v>
      </c>
      <c r="L501">
        <v>1.44</v>
      </c>
      <c r="M501">
        <v>1.47</v>
      </c>
      <c r="N501">
        <v>1.53</v>
      </c>
      <c r="O501">
        <v>1.53</v>
      </c>
      <c r="P501">
        <v>1.54</v>
      </c>
      <c r="Q501">
        <v>1.61</v>
      </c>
      <c r="R501">
        <v>1.63</v>
      </c>
      <c r="S501">
        <v>1.63</v>
      </c>
      <c r="T501">
        <v>1.69</v>
      </c>
      <c r="U501">
        <v>1.77</v>
      </c>
      <c r="V501">
        <v>1.78</v>
      </c>
      <c r="W501">
        <v>1.81</v>
      </c>
    </row>
    <row r="502" spans="1:23" x14ac:dyDescent="0.35">
      <c r="A502" s="2" t="s">
        <v>441</v>
      </c>
      <c r="B502">
        <v>1.06</v>
      </c>
      <c r="C502">
        <v>1.04</v>
      </c>
      <c r="D502">
        <v>1.05</v>
      </c>
      <c r="E502">
        <v>1.05</v>
      </c>
      <c r="F502">
        <v>1.05</v>
      </c>
      <c r="G502">
        <v>1.04</v>
      </c>
      <c r="H502">
        <v>1.07</v>
      </c>
      <c r="I502">
        <v>1.0900000000000001</v>
      </c>
      <c r="J502">
        <v>1.08</v>
      </c>
      <c r="K502">
        <v>1.08</v>
      </c>
      <c r="L502">
        <v>1.05</v>
      </c>
      <c r="M502">
        <v>1.01</v>
      </c>
      <c r="N502">
        <v>1.02</v>
      </c>
      <c r="O502">
        <v>1.02</v>
      </c>
      <c r="P502">
        <v>1.02</v>
      </c>
      <c r="Q502">
        <v>1.01</v>
      </c>
      <c r="R502">
        <v>1.01</v>
      </c>
      <c r="S502">
        <v>1.03</v>
      </c>
      <c r="T502">
        <v>1.04</v>
      </c>
      <c r="U502">
        <v>1.06</v>
      </c>
      <c r="V502">
        <v>1.06</v>
      </c>
      <c r="W502">
        <v>1.05</v>
      </c>
    </row>
    <row r="503" spans="1:23" x14ac:dyDescent="0.35">
      <c r="A503" s="2" t="s">
        <v>442</v>
      </c>
      <c r="B503">
        <v>610.86</v>
      </c>
      <c r="C503">
        <v>581.5</v>
      </c>
      <c r="D503">
        <v>541.85</v>
      </c>
      <c r="E503">
        <v>599.36</v>
      </c>
      <c r="F503">
        <v>630.84</v>
      </c>
      <c r="G503">
        <v>683.82</v>
      </c>
      <c r="H503">
        <v>632.66</v>
      </c>
      <c r="I503">
        <v>655.05999999999995</v>
      </c>
      <c r="J503">
        <v>652.64</v>
      </c>
      <c r="K503">
        <v>698.65</v>
      </c>
      <c r="L503">
        <v>621.76</v>
      </c>
      <c r="M503">
        <v>523.99</v>
      </c>
      <c r="N503">
        <v>518.23</v>
      </c>
      <c r="O503">
        <v>523.67999999999995</v>
      </c>
      <c r="P503">
        <v>546.99</v>
      </c>
      <c r="Q503">
        <v>581.79999999999995</v>
      </c>
      <c r="R503">
        <v>557.59</v>
      </c>
      <c r="S503">
        <v>586.95000000000005</v>
      </c>
      <c r="T503">
        <v>856.36</v>
      </c>
      <c r="U503">
        <v>797.94</v>
      </c>
      <c r="V503">
        <v>600.87</v>
      </c>
      <c r="W503">
        <v>620.25</v>
      </c>
    </row>
    <row r="504" spans="1:23" x14ac:dyDescent="0.35">
      <c r="A504" s="2" t="s">
        <v>443</v>
      </c>
      <c r="B504">
        <v>18.5</v>
      </c>
      <c r="C504">
        <v>19.309999999999999</v>
      </c>
      <c r="D504">
        <v>19.420000000000002</v>
      </c>
      <c r="E504">
        <v>26.3</v>
      </c>
      <c r="F504">
        <v>0</v>
      </c>
      <c r="G504">
        <v>0</v>
      </c>
      <c r="H504">
        <v>0</v>
      </c>
      <c r="I504">
        <v>0</v>
      </c>
      <c r="J504">
        <v>0</v>
      </c>
      <c r="K504">
        <v>0</v>
      </c>
      <c r="L504">
        <v>42.99</v>
      </c>
      <c r="M504">
        <v>19.14</v>
      </c>
      <c r="N504">
        <v>13.81</v>
      </c>
      <c r="O504">
        <v>13.52</v>
      </c>
      <c r="P504">
        <v>18.190000000000001</v>
      </c>
      <c r="Q504">
        <v>29.66</v>
      </c>
      <c r="R504">
        <v>0</v>
      </c>
      <c r="S504">
        <v>0</v>
      </c>
      <c r="T504">
        <v>0</v>
      </c>
      <c r="U504">
        <v>0</v>
      </c>
      <c r="V504">
        <v>0</v>
      </c>
      <c r="W504">
        <v>0</v>
      </c>
    </row>
    <row r="505" spans="1:23" x14ac:dyDescent="0.35">
      <c r="A505" s="2" t="s">
        <v>444</v>
      </c>
      <c r="B505">
        <v>55.94</v>
      </c>
      <c r="C505">
        <v>54.26</v>
      </c>
      <c r="D505">
        <v>39.159999999999997</v>
      </c>
      <c r="E505">
        <v>39.24</v>
      </c>
      <c r="F505">
        <v>40.39</v>
      </c>
      <c r="G505">
        <v>39.869999999999997</v>
      </c>
      <c r="H505">
        <v>39.770000000000003</v>
      </c>
      <c r="I505">
        <v>42.75</v>
      </c>
      <c r="J505">
        <v>45.49</v>
      </c>
      <c r="K505">
        <v>51.29</v>
      </c>
      <c r="L505">
        <v>35.75</v>
      </c>
      <c r="M505">
        <v>28.48</v>
      </c>
      <c r="N505">
        <v>32.64</v>
      </c>
      <c r="O505">
        <v>35.81</v>
      </c>
      <c r="P505">
        <v>43.3</v>
      </c>
      <c r="Q505">
        <v>45.49</v>
      </c>
      <c r="R505">
        <v>44.47</v>
      </c>
      <c r="S505">
        <v>50.79</v>
      </c>
      <c r="T505">
        <v>64.290000000000006</v>
      </c>
      <c r="U505">
        <v>60.47</v>
      </c>
      <c r="V505">
        <v>43.76</v>
      </c>
      <c r="W505">
        <v>46.26</v>
      </c>
    </row>
    <row r="506" spans="1:23" x14ac:dyDescent="0.35">
      <c r="A506" s="2" t="s">
        <v>445</v>
      </c>
      <c r="B506">
        <v>3.49</v>
      </c>
      <c r="C506">
        <v>2.99</v>
      </c>
      <c r="D506">
        <v>2.63</v>
      </c>
      <c r="E506">
        <v>2.34</v>
      </c>
      <c r="F506">
        <v>2.2599999999999998</v>
      </c>
      <c r="G506">
        <v>2.61</v>
      </c>
      <c r="H506">
        <v>2.88</v>
      </c>
      <c r="I506">
        <v>3.38</v>
      </c>
      <c r="J506">
        <v>3</v>
      </c>
      <c r="K506">
        <v>3.41</v>
      </c>
      <c r="L506">
        <v>2.83</v>
      </c>
      <c r="M506">
        <v>2.6</v>
      </c>
      <c r="N506">
        <v>2.89</v>
      </c>
      <c r="O506">
        <v>2.78</v>
      </c>
      <c r="P506">
        <v>2.72</v>
      </c>
      <c r="Q506">
        <v>2.4500000000000002</v>
      </c>
      <c r="R506">
        <v>2.34</v>
      </c>
      <c r="S506">
        <v>2.33</v>
      </c>
      <c r="T506">
        <v>3.07</v>
      </c>
      <c r="U506">
        <v>3.07</v>
      </c>
      <c r="V506">
        <v>2.76</v>
      </c>
      <c r="W506">
        <v>2.97</v>
      </c>
    </row>
    <row r="507" spans="1:23" x14ac:dyDescent="0.35">
      <c r="A507" s="2" t="s">
        <v>446</v>
      </c>
      <c r="B507">
        <v>253.4</v>
      </c>
      <c r="C507">
        <v>263.11</v>
      </c>
      <c r="D507">
        <v>278.62</v>
      </c>
      <c r="E507">
        <v>330.77</v>
      </c>
      <c r="F507">
        <v>297.41000000000003</v>
      </c>
      <c r="G507">
        <v>291.62</v>
      </c>
      <c r="H507">
        <v>295.22000000000003</v>
      </c>
      <c r="I507">
        <v>319.81</v>
      </c>
      <c r="J507">
        <v>275.95</v>
      </c>
      <c r="K507">
        <v>272.2</v>
      </c>
      <c r="L507">
        <v>271.41000000000003</v>
      </c>
      <c r="M507">
        <v>260.14</v>
      </c>
      <c r="N507">
        <v>264.83999999999997</v>
      </c>
      <c r="O507">
        <v>282.38</v>
      </c>
      <c r="P507">
        <v>292.24</v>
      </c>
      <c r="Q507">
        <v>316.2</v>
      </c>
      <c r="R507">
        <v>299.45</v>
      </c>
      <c r="S507">
        <v>285.66000000000003</v>
      </c>
      <c r="T507">
        <v>265.77</v>
      </c>
      <c r="U507">
        <v>278.62</v>
      </c>
      <c r="V507">
        <v>292.24</v>
      </c>
      <c r="W507">
        <v>290.20999999999998</v>
      </c>
    </row>
    <row r="508" spans="1:23" x14ac:dyDescent="0.35">
      <c r="A508" s="2" t="s">
        <v>447</v>
      </c>
      <c r="B508">
        <v>46.93</v>
      </c>
      <c r="C508">
        <v>48.88</v>
      </c>
      <c r="D508">
        <v>51.46</v>
      </c>
      <c r="E508">
        <v>53.18</v>
      </c>
      <c r="F508">
        <v>47.68</v>
      </c>
      <c r="G508">
        <v>51.16</v>
      </c>
      <c r="H508">
        <v>52.92</v>
      </c>
      <c r="I508">
        <v>53.47</v>
      </c>
      <c r="J508">
        <v>51.94</v>
      </c>
      <c r="K508">
        <v>49.34</v>
      </c>
      <c r="L508">
        <v>47.84</v>
      </c>
      <c r="M508">
        <v>47.09</v>
      </c>
      <c r="N508">
        <v>47.84</v>
      </c>
      <c r="O508">
        <v>50.84</v>
      </c>
      <c r="P508">
        <v>52.17</v>
      </c>
      <c r="Q508">
        <v>51.03</v>
      </c>
      <c r="R508">
        <v>50.58</v>
      </c>
      <c r="S508">
        <v>50.71</v>
      </c>
      <c r="T508">
        <v>52.79</v>
      </c>
      <c r="U508">
        <v>57.28</v>
      </c>
      <c r="V508">
        <v>58.55</v>
      </c>
      <c r="W508">
        <v>57.22</v>
      </c>
    </row>
    <row r="509" spans="1:23" x14ac:dyDescent="0.35">
      <c r="A509" s="2" t="s">
        <v>448</v>
      </c>
      <c r="B509">
        <v>8.06</v>
      </c>
      <c r="C509">
        <v>8.2799999999999994</v>
      </c>
      <c r="D509">
        <v>8.77</v>
      </c>
      <c r="E509">
        <v>9.86</v>
      </c>
      <c r="F509">
        <v>10.42</v>
      </c>
      <c r="G509">
        <v>11.16</v>
      </c>
      <c r="H509">
        <v>10.94</v>
      </c>
      <c r="I509">
        <v>9.0399999999999991</v>
      </c>
      <c r="J509">
        <v>8.27</v>
      </c>
      <c r="K509">
        <v>7.65</v>
      </c>
      <c r="L509">
        <v>6.86</v>
      </c>
      <c r="M509">
        <v>6.63</v>
      </c>
      <c r="N509">
        <v>7.08</v>
      </c>
      <c r="O509">
        <v>8.09</v>
      </c>
      <c r="P509">
        <v>9.4</v>
      </c>
      <c r="Q509">
        <v>10.38</v>
      </c>
      <c r="R509">
        <v>11.28</v>
      </c>
      <c r="S509">
        <v>11.79</v>
      </c>
      <c r="T509">
        <v>12.16</v>
      </c>
      <c r="U509">
        <v>11.5</v>
      </c>
      <c r="V509">
        <v>11.02</v>
      </c>
      <c r="W509">
        <v>10.220000000000001</v>
      </c>
    </row>
    <row r="510" spans="1:23" x14ac:dyDescent="0.35">
      <c r="A510" s="2" t="s">
        <v>449</v>
      </c>
      <c r="B510">
        <v>3.61</v>
      </c>
      <c r="C510">
        <v>4.1900000000000004</v>
      </c>
      <c r="D510">
        <v>5.21</v>
      </c>
      <c r="E510">
        <v>5.21</v>
      </c>
      <c r="F510">
        <v>3.68</v>
      </c>
      <c r="G510">
        <v>4.9800000000000004</v>
      </c>
      <c r="H510">
        <v>4.68</v>
      </c>
      <c r="I510">
        <v>4.12</v>
      </c>
      <c r="J510">
        <v>5.81</v>
      </c>
      <c r="K510">
        <v>5.04</v>
      </c>
      <c r="L510">
        <v>4.38</v>
      </c>
      <c r="M510">
        <v>4.7300000000000004</v>
      </c>
      <c r="N510">
        <v>4.42</v>
      </c>
      <c r="O510">
        <v>4.59</v>
      </c>
      <c r="P510">
        <v>5.56</v>
      </c>
      <c r="Q510">
        <v>6.02</v>
      </c>
      <c r="R510">
        <v>5.27</v>
      </c>
      <c r="S510">
        <v>4.6399999999999997</v>
      </c>
      <c r="T510">
        <v>5.12</v>
      </c>
      <c r="U510">
        <v>5</v>
      </c>
      <c r="V510">
        <v>5.55</v>
      </c>
      <c r="W510">
        <v>5.16</v>
      </c>
    </row>
    <row r="511" spans="1:23" x14ac:dyDescent="0.35">
      <c r="A511" s="2" t="s">
        <v>450</v>
      </c>
      <c r="B511">
        <v>16.59</v>
      </c>
      <c r="C511">
        <v>18.399999999999999</v>
      </c>
      <c r="D511">
        <v>14.92</v>
      </c>
      <c r="E511">
        <v>19.100000000000001</v>
      </c>
      <c r="F511">
        <v>24.31</v>
      </c>
      <c r="G511">
        <v>25.6</v>
      </c>
      <c r="H511">
        <v>21.33</v>
      </c>
      <c r="I511">
        <v>19.38</v>
      </c>
      <c r="J511">
        <v>18.28</v>
      </c>
      <c r="K511">
        <v>18.93</v>
      </c>
      <c r="L511">
        <v>16.260000000000002</v>
      </c>
      <c r="M511">
        <v>13.66</v>
      </c>
      <c r="N511">
        <v>14.68</v>
      </c>
      <c r="O511">
        <v>18.579999999999998</v>
      </c>
      <c r="P511">
        <v>17.2</v>
      </c>
      <c r="Q511">
        <v>17.87</v>
      </c>
      <c r="R511">
        <v>24.82</v>
      </c>
      <c r="S511">
        <v>26.89</v>
      </c>
      <c r="T511">
        <v>22.53</v>
      </c>
      <c r="U511">
        <v>18.25</v>
      </c>
      <c r="V511">
        <v>18.12</v>
      </c>
      <c r="W511">
        <v>18.82</v>
      </c>
    </row>
    <row r="512" spans="1:23" x14ac:dyDescent="0.35">
      <c r="A512" s="2" t="s">
        <v>451</v>
      </c>
      <c r="B512">
        <v>2.95</v>
      </c>
      <c r="C512">
        <v>3.46</v>
      </c>
      <c r="D512">
        <v>6.7</v>
      </c>
      <c r="E512">
        <v>11.11</v>
      </c>
      <c r="F512">
        <v>9.14</v>
      </c>
      <c r="G512">
        <v>5.78</v>
      </c>
      <c r="H512">
        <v>5.0999999999999996</v>
      </c>
      <c r="I512">
        <v>5.52</v>
      </c>
      <c r="J512">
        <v>6.79</v>
      </c>
      <c r="K512">
        <v>5.83</v>
      </c>
      <c r="L512">
        <v>4.53</v>
      </c>
      <c r="M512">
        <v>3.88</v>
      </c>
      <c r="N512">
        <v>3.9</v>
      </c>
      <c r="O512">
        <v>4.62</v>
      </c>
      <c r="P512">
        <v>7.64</v>
      </c>
      <c r="Q512">
        <v>9.18</v>
      </c>
      <c r="R512">
        <v>6.5</v>
      </c>
      <c r="S512">
        <v>5.53</v>
      </c>
      <c r="T512">
        <v>4.68</v>
      </c>
      <c r="U512">
        <v>4.6900000000000004</v>
      </c>
      <c r="V512">
        <v>6.3</v>
      </c>
      <c r="W512">
        <v>6.1</v>
      </c>
    </row>
    <row r="513" spans="1:23" x14ac:dyDescent="0.35">
      <c r="A513" s="2" t="s">
        <v>452</v>
      </c>
      <c r="B513">
        <v>4.4400000000000004</v>
      </c>
      <c r="C513">
        <v>4.1900000000000004</v>
      </c>
      <c r="D513">
        <v>4</v>
      </c>
      <c r="E513">
        <v>4.41</v>
      </c>
      <c r="F513">
        <v>4.2699999999999996</v>
      </c>
      <c r="G513">
        <v>5.34</v>
      </c>
      <c r="H513">
        <v>6.54</v>
      </c>
      <c r="I513">
        <v>6.58</v>
      </c>
      <c r="J513">
        <v>6.35</v>
      </c>
      <c r="K513">
        <v>7.55</v>
      </c>
      <c r="L513">
        <v>7.22</v>
      </c>
      <c r="M513">
        <v>5.47</v>
      </c>
      <c r="N513">
        <v>5</v>
      </c>
      <c r="O513">
        <v>5.26</v>
      </c>
      <c r="P513">
        <v>4.87</v>
      </c>
      <c r="Q513">
        <v>4.43</v>
      </c>
      <c r="R513">
        <v>4.74</v>
      </c>
      <c r="S513">
        <v>6.08</v>
      </c>
      <c r="T513">
        <v>6.78</v>
      </c>
      <c r="U513">
        <v>6.62</v>
      </c>
      <c r="V513">
        <v>5.96</v>
      </c>
      <c r="W513">
        <v>5.62</v>
      </c>
    </row>
    <row r="514" spans="1:23" x14ac:dyDescent="0.35">
      <c r="A514" s="2" t="s">
        <v>453</v>
      </c>
      <c r="B514">
        <v>2.0499999999999998</v>
      </c>
      <c r="C514">
        <v>2.21</v>
      </c>
      <c r="D514">
        <v>2.15</v>
      </c>
      <c r="E514">
        <v>2.27</v>
      </c>
      <c r="F514">
        <v>2.69</v>
      </c>
      <c r="G514">
        <v>2.5499999999999998</v>
      </c>
      <c r="H514">
        <v>2.38</v>
      </c>
      <c r="I514">
        <v>2.3199999999999998</v>
      </c>
      <c r="J514">
        <v>2.2999999999999998</v>
      </c>
      <c r="K514">
        <v>2.56</v>
      </c>
      <c r="L514">
        <v>2.73</v>
      </c>
      <c r="M514">
        <v>2.62</v>
      </c>
      <c r="N514">
        <v>2.56</v>
      </c>
      <c r="O514">
        <v>2.4</v>
      </c>
      <c r="P514">
        <v>2.34</v>
      </c>
      <c r="Q514">
        <v>2.25</v>
      </c>
      <c r="R514">
        <v>2.16</v>
      </c>
      <c r="S514">
        <v>2.27</v>
      </c>
      <c r="T514">
        <v>2.2000000000000002</v>
      </c>
      <c r="U514">
        <v>2.0699999999999998</v>
      </c>
      <c r="V514">
        <v>2.42</v>
      </c>
      <c r="W514">
        <v>2.63</v>
      </c>
    </row>
    <row r="515" spans="1:23" x14ac:dyDescent="0.35">
      <c r="A515" s="2" t="s">
        <v>454</v>
      </c>
      <c r="B515">
        <v>6.34</v>
      </c>
      <c r="C515">
        <v>6.28</v>
      </c>
      <c r="D515">
        <v>6.3</v>
      </c>
      <c r="E515">
        <v>6.29</v>
      </c>
      <c r="F515">
        <v>6.32</v>
      </c>
      <c r="G515">
        <v>6.29</v>
      </c>
      <c r="H515">
        <v>6.39</v>
      </c>
      <c r="I515">
        <v>6.59</v>
      </c>
      <c r="J515">
        <v>6.37</v>
      </c>
      <c r="K515">
        <v>6.74</v>
      </c>
      <c r="L515">
        <v>6.67</v>
      </c>
      <c r="M515">
        <v>6.25</v>
      </c>
      <c r="N515">
        <v>6.23</v>
      </c>
      <c r="O515">
        <v>6.26</v>
      </c>
      <c r="P515">
        <v>6.26</v>
      </c>
      <c r="Q515">
        <v>6.27</v>
      </c>
      <c r="R515">
        <v>6.55</v>
      </c>
      <c r="S515">
        <v>6.71</v>
      </c>
      <c r="T515">
        <v>6.71</v>
      </c>
      <c r="U515">
        <v>6.74</v>
      </c>
      <c r="V515">
        <v>6.75</v>
      </c>
      <c r="W515">
        <v>6.48</v>
      </c>
    </row>
    <row r="516" spans="1:23" x14ac:dyDescent="0.35">
      <c r="A516" s="2" t="s">
        <v>455</v>
      </c>
      <c r="B516">
        <v>46.93</v>
      </c>
      <c r="C516">
        <v>44.89</v>
      </c>
      <c r="D516">
        <v>41.36</v>
      </c>
      <c r="E516">
        <v>41.26</v>
      </c>
      <c r="F516">
        <v>36.450000000000003</v>
      </c>
      <c r="G516">
        <v>40.24</v>
      </c>
      <c r="H516">
        <v>39.94</v>
      </c>
      <c r="I516">
        <v>37.299999999999997</v>
      </c>
      <c r="J516">
        <v>38.01</v>
      </c>
      <c r="K516">
        <v>38.89</v>
      </c>
      <c r="L516">
        <v>43.11</v>
      </c>
      <c r="M516">
        <v>44.16</v>
      </c>
      <c r="N516">
        <v>43.87</v>
      </c>
      <c r="O516">
        <v>38.58</v>
      </c>
      <c r="P516">
        <v>38.130000000000003</v>
      </c>
      <c r="Q516">
        <v>36.92</v>
      </c>
      <c r="R516">
        <v>39.53</v>
      </c>
      <c r="S516">
        <v>41.69</v>
      </c>
      <c r="T516">
        <v>39.130000000000003</v>
      </c>
      <c r="U516">
        <v>38.01</v>
      </c>
      <c r="V516">
        <v>40.840000000000003</v>
      </c>
      <c r="W516">
        <v>42.07</v>
      </c>
    </row>
    <row r="517" spans="1:23" x14ac:dyDescent="0.35">
      <c r="A517" s="2" t="s">
        <v>456</v>
      </c>
      <c r="B517">
        <v>10.75</v>
      </c>
      <c r="C517">
        <v>10.44</v>
      </c>
      <c r="D517">
        <v>10.210000000000001</v>
      </c>
      <c r="E517">
        <v>10.64</v>
      </c>
      <c r="F517">
        <v>10.65</v>
      </c>
      <c r="G517">
        <v>11.12</v>
      </c>
      <c r="H517">
        <v>11.37</v>
      </c>
      <c r="I517">
        <v>11.06</v>
      </c>
      <c r="J517">
        <v>11.18</v>
      </c>
      <c r="K517">
        <v>11.18</v>
      </c>
      <c r="L517">
        <v>11.12</v>
      </c>
      <c r="M517">
        <v>11.15</v>
      </c>
      <c r="N517">
        <v>11.52</v>
      </c>
      <c r="O517">
        <v>11.61</v>
      </c>
      <c r="P517">
        <v>11.76</v>
      </c>
      <c r="Q517">
        <v>11.73</v>
      </c>
      <c r="R517">
        <v>11.52</v>
      </c>
      <c r="S517">
        <v>11.57</v>
      </c>
      <c r="T517">
        <v>11.77</v>
      </c>
      <c r="U517">
        <v>11.84</v>
      </c>
      <c r="V517">
        <v>12.18</v>
      </c>
      <c r="W517">
        <v>12.27</v>
      </c>
    </row>
    <row r="518" spans="1:23" x14ac:dyDescent="0.35">
      <c r="A518" s="2" t="s">
        <v>457</v>
      </c>
      <c r="B518">
        <v>19.28</v>
      </c>
      <c r="C518">
        <v>21.6</v>
      </c>
      <c r="D518">
        <v>22.12</v>
      </c>
      <c r="E518">
        <v>22.34</v>
      </c>
      <c r="F518">
        <v>17.52</v>
      </c>
      <c r="G518">
        <v>15.2</v>
      </c>
      <c r="H518">
        <v>14.85</v>
      </c>
      <c r="I518">
        <v>16.63</v>
      </c>
      <c r="J518">
        <v>15.53</v>
      </c>
      <c r="K518">
        <v>15.5</v>
      </c>
      <c r="L518">
        <v>17.05</v>
      </c>
      <c r="M518">
        <v>17.5</v>
      </c>
      <c r="N518">
        <v>19.37</v>
      </c>
      <c r="O518">
        <v>21.29</v>
      </c>
      <c r="P518">
        <v>22.53</v>
      </c>
      <c r="Q518">
        <v>20.43</v>
      </c>
      <c r="R518">
        <v>17.57</v>
      </c>
      <c r="S518">
        <v>16.09</v>
      </c>
      <c r="T518">
        <v>16.7</v>
      </c>
      <c r="U518">
        <v>17.809999999999999</v>
      </c>
      <c r="V518">
        <v>18.28</v>
      </c>
      <c r="W518">
        <v>35.54</v>
      </c>
    </row>
    <row r="519" spans="1:23" x14ac:dyDescent="0.35">
      <c r="A519" s="2" t="s">
        <v>458</v>
      </c>
      <c r="B519">
        <v>116.17</v>
      </c>
      <c r="C519">
        <v>116.17</v>
      </c>
      <c r="D519">
        <v>116.17</v>
      </c>
      <c r="E519">
        <v>116.17</v>
      </c>
      <c r="F519">
        <v>116.17</v>
      </c>
      <c r="G519">
        <v>116.17</v>
      </c>
      <c r="H519">
        <v>116.17</v>
      </c>
      <c r="I519">
        <v>116.17</v>
      </c>
      <c r="J519">
        <v>116.17</v>
      </c>
      <c r="K519">
        <v>122.16</v>
      </c>
      <c r="L519">
        <v>122.16</v>
      </c>
      <c r="M519">
        <v>122.16</v>
      </c>
      <c r="N519">
        <v>122.16</v>
      </c>
      <c r="O519">
        <v>122.16</v>
      </c>
      <c r="P519">
        <v>122.16</v>
      </c>
      <c r="Q519">
        <v>122.16</v>
      </c>
      <c r="R519">
        <v>122.16</v>
      </c>
      <c r="S519">
        <v>122.16</v>
      </c>
      <c r="T519">
        <v>122.16</v>
      </c>
      <c r="U519">
        <v>122.16</v>
      </c>
      <c r="V519">
        <v>122.16</v>
      </c>
      <c r="W519">
        <v>126.17</v>
      </c>
    </row>
    <row r="520" spans="1:23" x14ac:dyDescent="0.35">
      <c r="A520" s="2" t="s">
        <v>459</v>
      </c>
      <c r="B520">
        <v>75.7</v>
      </c>
      <c r="C520">
        <v>79.14</v>
      </c>
      <c r="D520">
        <v>88.47</v>
      </c>
      <c r="E520">
        <v>89.36</v>
      </c>
      <c r="F520">
        <v>85.46</v>
      </c>
      <c r="G520">
        <v>82.53</v>
      </c>
      <c r="H520">
        <v>75.069999999999993</v>
      </c>
      <c r="I520">
        <v>74.150000000000006</v>
      </c>
      <c r="J520">
        <v>65.14</v>
      </c>
      <c r="K520">
        <v>59.71</v>
      </c>
      <c r="L520">
        <v>67.52</v>
      </c>
      <c r="M520">
        <v>67.349999999999994</v>
      </c>
      <c r="N520">
        <v>68.290000000000006</v>
      </c>
      <c r="O520">
        <v>67.349999999999994</v>
      </c>
      <c r="P520">
        <v>64.819999999999993</v>
      </c>
      <c r="Q520">
        <v>65.510000000000005</v>
      </c>
      <c r="R520">
        <v>64.53</v>
      </c>
      <c r="S520">
        <v>63.59</v>
      </c>
      <c r="T520">
        <v>63.1</v>
      </c>
      <c r="U520">
        <v>62.06</v>
      </c>
      <c r="V520">
        <v>61.17</v>
      </c>
      <c r="W520">
        <v>58.16</v>
      </c>
    </row>
    <row r="521" spans="1:23" x14ac:dyDescent="0.35">
      <c r="A521" s="2" t="s">
        <v>460</v>
      </c>
      <c r="B521">
        <v>5.86</v>
      </c>
      <c r="C521">
        <v>5.87</v>
      </c>
      <c r="D521">
        <v>5.81</v>
      </c>
      <c r="E521">
        <v>6.17</v>
      </c>
      <c r="F521">
        <v>5.69</v>
      </c>
      <c r="G521">
        <v>5.38</v>
      </c>
      <c r="H521">
        <v>5.0199999999999996</v>
      </c>
      <c r="I521">
        <v>4.59</v>
      </c>
      <c r="J521">
        <v>4.75</v>
      </c>
      <c r="K521">
        <v>4.67</v>
      </c>
      <c r="L521">
        <v>5.19</v>
      </c>
      <c r="M521">
        <v>5.84</v>
      </c>
      <c r="N521">
        <v>5.98</v>
      </c>
      <c r="O521">
        <v>5.79</v>
      </c>
      <c r="P521">
        <v>5.34</v>
      </c>
      <c r="Q521">
        <v>5.39</v>
      </c>
      <c r="R521">
        <v>5.48</v>
      </c>
      <c r="S521">
        <v>5.43</v>
      </c>
      <c r="T521">
        <v>5.6</v>
      </c>
      <c r="U521">
        <v>5.81</v>
      </c>
      <c r="V521">
        <v>6</v>
      </c>
      <c r="W521">
        <v>5.46</v>
      </c>
    </row>
    <row r="522" spans="1:23" x14ac:dyDescent="0.35">
      <c r="A522" s="2" t="s">
        <v>461</v>
      </c>
      <c r="B522">
        <v>181.23</v>
      </c>
      <c r="C522">
        <v>181.47</v>
      </c>
      <c r="D522">
        <v>184.62</v>
      </c>
      <c r="E522">
        <v>167.92</v>
      </c>
      <c r="F522">
        <v>169.54</v>
      </c>
      <c r="G522">
        <v>166.39</v>
      </c>
      <c r="H522">
        <v>159.46</v>
      </c>
      <c r="I522">
        <v>155.58000000000001</v>
      </c>
      <c r="J522">
        <v>149.78</v>
      </c>
      <c r="K522">
        <v>158.72999999999999</v>
      </c>
      <c r="L522">
        <v>160.1</v>
      </c>
      <c r="M522">
        <v>164.46</v>
      </c>
      <c r="N522">
        <v>163.16999999999999</v>
      </c>
      <c r="O522">
        <v>175.43</v>
      </c>
      <c r="P522">
        <v>179.38</v>
      </c>
      <c r="Q522">
        <v>181.15</v>
      </c>
      <c r="R522">
        <v>173.25</v>
      </c>
      <c r="S522">
        <v>167.28</v>
      </c>
      <c r="T522">
        <v>173.73</v>
      </c>
      <c r="U522">
        <v>165.75</v>
      </c>
      <c r="V522">
        <v>178.17</v>
      </c>
      <c r="W522">
        <v>177.2</v>
      </c>
    </row>
    <row r="523" spans="1:23" x14ac:dyDescent="0.35">
      <c r="A523" s="2" t="s">
        <v>462</v>
      </c>
      <c r="B523">
        <v>146.58000000000001</v>
      </c>
      <c r="C523">
        <v>146.78</v>
      </c>
      <c r="D523">
        <v>148.72</v>
      </c>
      <c r="E523">
        <v>131.96</v>
      </c>
      <c r="F523">
        <v>133.26</v>
      </c>
      <c r="G523">
        <v>128.54</v>
      </c>
      <c r="H523">
        <v>119.29</v>
      </c>
      <c r="I523">
        <v>114.82</v>
      </c>
      <c r="J523">
        <v>108.81</v>
      </c>
      <c r="K523">
        <v>118.12</v>
      </c>
      <c r="L523">
        <v>118.64</v>
      </c>
      <c r="M523">
        <v>123.04</v>
      </c>
      <c r="N523">
        <v>120.26</v>
      </c>
      <c r="O523">
        <v>133.32</v>
      </c>
      <c r="P523">
        <v>137.66</v>
      </c>
      <c r="Q523">
        <v>138.63</v>
      </c>
      <c r="R523">
        <v>131.9</v>
      </c>
      <c r="S523">
        <v>125.04</v>
      </c>
      <c r="T523">
        <v>131.12</v>
      </c>
      <c r="U523">
        <v>122.26</v>
      </c>
      <c r="V523">
        <v>129.77000000000001</v>
      </c>
      <c r="W523">
        <v>131.12</v>
      </c>
    </row>
    <row r="524" spans="1:23" x14ac:dyDescent="0.35">
      <c r="A524" s="2" t="s">
        <v>463</v>
      </c>
      <c r="B524">
        <v>0.97</v>
      </c>
      <c r="C524">
        <v>0.98</v>
      </c>
      <c r="D524">
        <v>0.97</v>
      </c>
      <c r="E524">
        <v>1.05</v>
      </c>
      <c r="F524">
        <v>1.04</v>
      </c>
      <c r="G524">
        <v>1.01</v>
      </c>
      <c r="H524">
        <v>0.98</v>
      </c>
      <c r="I524">
        <v>0.98</v>
      </c>
      <c r="J524">
        <v>0.99</v>
      </c>
      <c r="K524">
        <v>0.99</v>
      </c>
      <c r="L524">
        <v>0.99</v>
      </c>
      <c r="M524">
        <v>0.99</v>
      </c>
      <c r="N524">
        <v>0.99</v>
      </c>
      <c r="O524">
        <v>0.98</v>
      </c>
      <c r="P524">
        <v>0.89</v>
      </c>
      <c r="Q524">
        <v>0.95</v>
      </c>
      <c r="R524">
        <v>0.96</v>
      </c>
      <c r="S524">
        <v>0.98</v>
      </c>
      <c r="T524">
        <v>0.96</v>
      </c>
      <c r="U524">
        <v>0.97</v>
      </c>
      <c r="V524">
        <v>1.02</v>
      </c>
      <c r="W524">
        <v>1.06</v>
      </c>
    </row>
    <row r="525" spans="1:23" x14ac:dyDescent="0.35">
      <c r="A525" s="2" t="s">
        <v>464</v>
      </c>
      <c r="B525">
        <v>1673.99</v>
      </c>
      <c r="C525">
        <v>1711.11</v>
      </c>
      <c r="D525">
        <v>1780.39</v>
      </c>
      <c r="E525">
        <v>1870.71</v>
      </c>
      <c r="F525">
        <v>2024.13</v>
      </c>
      <c r="G525">
        <v>2067.4299999999998</v>
      </c>
      <c r="H525">
        <v>2061.25</v>
      </c>
      <c r="I525">
        <v>1969.69</v>
      </c>
      <c r="J525">
        <v>1959.79</v>
      </c>
      <c r="K525">
        <v>1954.84</v>
      </c>
      <c r="L525">
        <v>2014.23</v>
      </c>
      <c r="M525">
        <v>1954.84</v>
      </c>
      <c r="N525">
        <v>1925.15</v>
      </c>
      <c r="O525">
        <v>1949.9</v>
      </c>
      <c r="P525">
        <v>1935.05</v>
      </c>
      <c r="Q525">
        <v>1889.27</v>
      </c>
      <c r="R525">
        <v>1838.54</v>
      </c>
      <c r="S525">
        <v>1808.85</v>
      </c>
      <c r="T525">
        <v>1798.95</v>
      </c>
      <c r="U525">
        <v>1844.73</v>
      </c>
      <c r="V525">
        <v>1894.22</v>
      </c>
      <c r="W525">
        <v>1923.91</v>
      </c>
    </row>
    <row r="526" spans="1:23" x14ac:dyDescent="0.35">
      <c r="A526" s="2" t="s">
        <v>465</v>
      </c>
      <c r="B526">
        <v>17.68</v>
      </c>
      <c r="C526">
        <v>17.68</v>
      </c>
      <c r="D526">
        <v>17.68</v>
      </c>
      <c r="E526">
        <v>17.68</v>
      </c>
      <c r="F526">
        <v>17.68</v>
      </c>
      <c r="G526">
        <v>17.68</v>
      </c>
      <c r="H526">
        <v>17.68</v>
      </c>
      <c r="I526">
        <v>24.49</v>
      </c>
      <c r="J526">
        <v>24.47</v>
      </c>
      <c r="K526">
        <v>24.47</v>
      </c>
      <c r="L526">
        <v>24.47</v>
      </c>
      <c r="M526">
        <v>24.47</v>
      </c>
      <c r="N526">
        <v>24.47</v>
      </c>
      <c r="O526">
        <v>26.97</v>
      </c>
      <c r="P526">
        <v>25.99</v>
      </c>
      <c r="Q526">
        <v>26.88</v>
      </c>
      <c r="R526">
        <v>24.29</v>
      </c>
      <c r="S526">
        <v>23.26</v>
      </c>
      <c r="T526">
        <v>23.26</v>
      </c>
      <c r="U526">
        <v>23.26</v>
      </c>
      <c r="V526">
        <v>21.46</v>
      </c>
      <c r="W526">
        <v>21.46</v>
      </c>
    </row>
    <row r="527" spans="1:23" x14ac:dyDescent="0.35">
      <c r="A527" s="2" t="s">
        <v>466</v>
      </c>
      <c r="B527">
        <v>11</v>
      </c>
      <c r="C527">
        <v>10.34</v>
      </c>
      <c r="D527">
        <v>11.26</v>
      </c>
      <c r="E527">
        <v>13.18</v>
      </c>
      <c r="F527">
        <v>15.7</v>
      </c>
      <c r="G527">
        <v>15.57</v>
      </c>
      <c r="H527">
        <v>14.98</v>
      </c>
      <c r="I527">
        <v>14.02</v>
      </c>
      <c r="J527">
        <v>12.5</v>
      </c>
      <c r="K527">
        <v>12.43</v>
      </c>
      <c r="L527">
        <v>13.11</v>
      </c>
      <c r="M527">
        <v>13.16</v>
      </c>
      <c r="N527">
        <v>12.57</v>
      </c>
      <c r="O527">
        <v>12.41</v>
      </c>
      <c r="P527">
        <v>12.42</v>
      </c>
      <c r="Q527">
        <v>11.59</v>
      </c>
      <c r="R527">
        <v>10.47</v>
      </c>
      <c r="S527">
        <v>9.14</v>
      </c>
      <c r="T527">
        <v>8.3800000000000008</v>
      </c>
      <c r="U527">
        <v>8.41</v>
      </c>
      <c r="V527">
        <v>9.2100000000000009</v>
      </c>
      <c r="W527">
        <v>9.74</v>
      </c>
    </row>
    <row r="528" spans="1:23" x14ac:dyDescent="0.35">
      <c r="A528" s="2" t="s">
        <v>467</v>
      </c>
      <c r="B528">
        <v>3.96</v>
      </c>
      <c r="C528">
        <v>3.92</v>
      </c>
      <c r="D528">
        <v>3.82</v>
      </c>
      <c r="E528">
        <v>3.93</v>
      </c>
      <c r="F528">
        <v>3.72</v>
      </c>
      <c r="G528">
        <v>3.78</v>
      </c>
      <c r="H528">
        <v>3.74</v>
      </c>
      <c r="I528">
        <v>3.78</v>
      </c>
      <c r="J528">
        <v>3.77</v>
      </c>
      <c r="K528">
        <v>3.87</v>
      </c>
      <c r="L528">
        <v>3.84</v>
      </c>
      <c r="M528">
        <v>3.9</v>
      </c>
      <c r="N528">
        <v>3.86</v>
      </c>
      <c r="O528">
        <v>3.99</v>
      </c>
      <c r="P528">
        <v>3.84</v>
      </c>
      <c r="Q528">
        <v>3.96</v>
      </c>
      <c r="R528">
        <v>4.0599999999999996</v>
      </c>
      <c r="S528">
        <v>4.0599999999999996</v>
      </c>
      <c r="T528">
        <v>4.07</v>
      </c>
      <c r="U528">
        <v>4.1500000000000004</v>
      </c>
      <c r="V528">
        <v>4.1100000000000003</v>
      </c>
      <c r="W528">
        <v>4.1500000000000004</v>
      </c>
    </row>
    <row r="529" spans="1:23" x14ac:dyDescent="0.35">
      <c r="A529" s="2" t="s">
        <v>468</v>
      </c>
      <c r="B529">
        <v>4</v>
      </c>
      <c r="C529">
        <v>4.0199999999999996</v>
      </c>
      <c r="D529">
        <v>4</v>
      </c>
      <c r="E529">
        <v>4.04</v>
      </c>
      <c r="F529">
        <v>4.07</v>
      </c>
      <c r="G529">
        <v>4.03</v>
      </c>
      <c r="H529">
        <v>4.1100000000000003</v>
      </c>
      <c r="I529">
        <v>4.1500000000000004</v>
      </c>
      <c r="J529">
        <v>4.1399999999999997</v>
      </c>
      <c r="K529">
        <v>4.18</v>
      </c>
      <c r="L529">
        <v>4.26</v>
      </c>
      <c r="M529">
        <v>4.28</v>
      </c>
      <c r="N529">
        <v>4.33</v>
      </c>
      <c r="O529">
        <v>4.3099999999999996</v>
      </c>
      <c r="P529">
        <v>4.33</v>
      </c>
      <c r="Q529">
        <v>4.3600000000000003</v>
      </c>
      <c r="R529">
        <v>4.38</v>
      </c>
      <c r="S529">
        <v>4.38</v>
      </c>
      <c r="T529">
        <v>4.37</v>
      </c>
      <c r="U529">
        <v>4.3899999999999997</v>
      </c>
      <c r="V529">
        <v>4.41</v>
      </c>
      <c r="W529">
        <v>4.33</v>
      </c>
    </row>
    <row r="530" spans="1:23" x14ac:dyDescent="0.35">
      <c r="A530" s="2" t="s">
        <v>469</v>
      </c>
      <c r="B530">
        <v>35.06</v>
      </c>
      <c r="C530">
        <v>34.89</v>
      </c>
      <c r="D530">
        <v>34.090000000000003</v>
      </c>
      <c r="E530">
        <v>34.06</v>
      </c>
      <c r="F530">
        <v>33.75</v>
      </c>
      <c r="G530">
        <v>32.83</v>
      </c>
      <c r="H530">
        <v>31.62</v>
      </c>
      <c r="I530">
        <v>31.14</v>
      </c>
      <c r="J530">
        <v>29.56</v>
      </c>
      <c r="K530">
        <v>30.53</v>
      </c>
      <c r="L530">
        <v>31.78</v>
      </c>
      <c r="M530">
        <v>30.69</v>
      </c>
      <c r="N530">
        <v>29.53</v>
      </c>
      <c r="O530">
        <v>28.19</v>
      </c>
      <c r="P530">
        <v>26.42</v>
      </c>
      <c r="Q530">
        <v>25.47</v>
      </c>
      <c r="R530">
        <v>23.8</v>
      </c>
      <c r="S530">
        <v>23.47</v>
      </c>
      <c r="T530">
        <v>24.99</v>
      </c>
      <c r="U530">
        <v>25.52</v>
      </c>
      <c r="V530">
        <v>24.46</v>
      </c>
      <c r="W530">
        <v>24.28</v>
      </c>
    </row>
    <row r="531" spans="1:23" x14ac:dyDescent="0.35">
      <c r="A531" s="2" t="s">
        <v>470</v>
      </c>
      <c r="B531">
        <v>50.09</v>
      </c>
      <c r="C531">
        <v>52.76</v>
      </c>
      <c r="D531">
        <v>57.69</v>
      </c>
      <c r="E531">
        <v>60.2</v>
      </c>
      <c r="F531">
        <v>60.71</v>
      </c>
      <c r="G531">
        <v>59.36</v>
      </c>
      <c r="H531">
        <v>55.53</v>
      </c>
      <c r="I531">
        <v>53.81</v>
      </c>
      <c r="J531">
        <v>50.55</v>
      </c>
      <c r="K531">
        <v>51.68</v>
      </c>
      <c r="L531">
        <v>51.9</v>
      </c>
      <c r="M531">
        <v>49.36</v>
      </c>
      <c r="N531">
        <v>47.02</v>
      </c>
      <c r="O531">
        <v>44.57</v>
      </c>
      <c r="P531">
        <v>41.87</v>
      </c>
      <c r="Q531">
        <v>41.09</v>
      </c>
      <c r="R531">
        <v>38.590000000000003</v>
      </c>
      <c r="S531">
        <v>37.75</v>
      </c>
      <c r="T531">
        <v>40.69</v>
      </c>
      <c r="U531">
        <v>40.880000000000003</v>
      </c>
      <c r="V531">
        <v>38.99</v>
      </c>
      <c r="W531">
        <v>38.1</v>
      </c>
    </row>
    <row r="532" spans="1:23" x14ac:dyDescent="0.35">
      <c r="A532" s="2" t="s">
        <v>471</v>
      </c>
      <c r="B532">
        <v>1.82</v>
      </c>
      <c r="C532">
        <v>1.88</v>
      </c>
      <c r="D532">
        <v>1.83</v>
      </c>
      <c r="E532">
        <v>1.85</v>
      </c>
      <c r="F532">
        <v>1.8</v>
      </c>
      <c r="G532">
        <v>1.7</v>
      </c>
      <c r="H532">
        <v>1.63</v>
      </c>
      <c r="I532">
        <v>1.6</v>
      </c>
      <c r="J532">
        <v>1.53</v>
      </c>
      <c r="K532">
        <v>1.56</v>
      </c>
      <c r="L532">
        <v>1.63</v>
      </c>
      <c r="M532">
        <v>1.66</v>
      </c>
      <c r="N532">
        <v>1.54</v>
      </c>
      <c r="O532">
        <v>1.39</v>
      </c>
      <c r="P532">
        <v>1.33</v>
      </c>
      <c r="Q532">
        <v>1.24</v>
      </c>
      <c r="R532">
        <v>1.19</v>
      </c>
      <c r="S532">
        <v>1.19</v>
      </c>
      <c r="T532">
        <v>1.24</v>
      </c>
      <c r="U532">
        <v>1.25</v>
      </c>
      <c r="V532">
        <v>1.23</v>
      </c>
      <c r="W532">
        <v>1.22</v>
      </c>
    </row>
    <row r="533" spans="1:23" x14ac:dyDescent="0.35">
      <c r="A533" s="2" t="s">
        <v>472</v>
      </c>
      <c r="B533">
        <v>5.22</v>
      </c>
      <c r="C533">
        <v>5.26</v>
      </c>
      <c r="D533">
        <v>5.19</v>
      </c>
      <c r="E533">
        <v>5.17</v>
      </c>
      <c r="F533">
        <v>5.12</v>
      </c>
      <c r="G533">
        <v>4.82</v>
      </c>
      <c r="H533">
        <v>4.76</v>
      </c>
      <c r="I533">
        <v>4.71</v>
      </c>
      <c r="J533">
        <v>4.63</v>
      </c>
      <c r="K533">
        <v>4.59</v>
      </c>
      <c r="L533">
        <v>4.5</v>
      </c>
      <c r="M533">
        <v>4.5599999999999996</v>
      </c>
      <c r="N533">
        <v>4.5599999999999996</v>
      </c>
      <c r="O533">
        <v>4.49</v>
      </c>
      <c r="P533">
        <v>4.4800000000000004</v>
      </c>
      <c r="Q533">
        <v>4.3600000000000003</v>
      </c>
      <c r="R533">
        <v>4.28</v>
      </c>
      <c r="S533">
        <v>4.2</v>
      </c>
      <c r="T533">
        <v>4.18</v>
      </c>
      <c r="U533">
        <v>4.0199999999999996</v>
      </c>
      <c r="V533">
        <v>4.0599999999999996</v>
      </c>
      <c r="W533">
        <v>4.09</v>
      </c>
    </row>
    <row r="534" spans="1:23" x14ac:dyDescent="0.35">
      <c r="A534" s="2" t="s">
        <v>473</v>
      </c>
      <c r="B534">
        <v>77.319999999999993</v>
      </c>
      <c r="C534">
        <v>78.930000000000007</v>
      </c>
      <c r="D534">
        <v>80.86</v>
      </c>
      <c r="E534">
        <v>82.62</v>
      </c>
      <c r="F534">
        <v>82.62</v>
      </c>
      <c r="G534">
        <v>82.78</v>
      </c>
      <c r="H534">
        <v>83.97</v>
      </c>
      <c r="I534">
        <v>84.18</v>
      </c>
      <c r="J534">
        <v>86.26</v>
      </c>
      <c r="K534">
        <v>87.45</v>
      </c>
      <c r="L534">
        <v>87.61</v>
      </c>
      <c r="M534">
        <v>88.54</v>
      </c>
      <c r="N534">
        <v>88.96</v>
      </c>
      <c r="O534">
        <v>90.93</v>
      </c>
      <c r="P534">
        <v>92.8</v>
      </c>
      <c r="Q534">
        <v>93.27</v>
      </c>
      <c r="R534">
        <v>93.79</v>
      </c>
      <c r="S534">
        <v>93.94</v>
      </c>
      <c r="T534">
        <v>94.15</v>
      </c>
      <c r="U534">
        <v>94.2</v>
      </c>
      <c r="V534">
        <v>94.46</v>
      </c>
      <c r="W534">
        <v>94.77</v>
      </c>
    </row>
    <row r="535" spans="1:23" x14ac:dyDescent="0.35">
      <c r="A535" s="2" t="s">
        <v>474</v>
      </c>
      <c r="B535">
        <v>9.9</v>
      </c>
      <c r="C535">
        <v>9.8800000000000008</v>
      </c>
      <c r="D535">
        <v>10.14</v>
      </c>
      <c r="E535">
        <v>10.16</v>
      </c>
      <c r="F535">
        <v>10.09</v>
      </c>
      <c r="G535">
        <v>10.27</v>
      </c>
      <c r="H535">
        <v>10.65</v>
      </c>
      <c r="I535">
        <v>11.34</v>
      </c>
      <c r="J535">
        <v>11.16</v>
      </c>
      <c r="K535">
        <v>11.03</v>
      </c>
      <c r="L535">
        <v>10.65</v>
      </c>
      <c r="M535">
        <v>10.39</v>
      </c>
      <c r="N535">
        <v>10.52</v>
      </c>
      <c r="O535">
        <v>10.71</v>
      </c>
      <c r="P535">
        <v>10.53</v>
      </c>
      <c r="Q535">
        <v>10.53</v>
      </c>
      <c r="R535">
        <v>10.88</v>
      </c>
      <c r="S535">
        <v>11.67</v>
      </c>
      <c r="T535">
        <v>12.12</v>
      </c>
      <c r="U535">
        <v>12.52</v>
      </c>
      <c r="V535">
        <v>12.26</v>
      </c>
      <c r="W535">
        <v>12.16</v>
      </c>
    </row>
    <row r="536" spans="1:23" x14ac:dyDescent="0.35">
      <c r="A536" s="2" t="s">
        <v>848</v>
      </c>
      <c r="B536">
        <v>15.78</v>
      </c>
      <c r="C536">
        <v>16.3</v>
      </c>
      <c r="D536">
        <v>16.829999999999998</v>
      </c>
      <c r="E536">
        <v>17.399999999999999</v>
      </c>
      <c r="F536">
        <v>17.72</v>
      </c>
      <c r="G536">
        <v>17.29</v>
      </c>
      <c r="H536">
        <v>17.64</v>
      </c>
      <c r="I536">
        <v>17.71</v>
      </c>
      <c r="J536">
        <v>17.87</v>
      </c>
      <c r="K536">
        <v>18.18</v>
      </c>
      <c r="L536">
        <v>17.829999999999998</v>
      </c>
      <c r="M536">
        <v>17.61</v>
      </c>
      <c r="N536">
        <v>17.690000000000001</v>
      </c>
      <c r="O536">
        <v>17.48</v>
      </c>
      <c r="P536">
        <v>17.45</v>
      </c>
      <c r="Q536">
        <v>17.3</v>
      </c>
      <c r="R536">
        <v>17.14</v>
      </c>
      <c r="S536">
        <v>16.739999999999998</v>
      </c>
      <c r="T536">
        <v>16.649999999999999</v>
      </c>
      <c r="U536">
        <v>16.7</v>
      </c>
      <c r="V536">
        <v>16.97</v>
      </c>
      <c r="W536">
        <v>17.170000000000002</v>
      </c>
    </row>
    <row r="537" spans="1:23" x14ac:dyDescent="0.35">
      <c r="A537" s="2" t="s">
        <v>475</v>
      </c>
      <c r="B537">
        <v>15.78</v>
      </c>
      <c r="C537">
        <v>16.3</v>
      </c>
      <c r="D537">
        <v>16.829999999999998</v>
      </c>
      <c r="E537">
        <v>17.399999999999999</v>
      </c>
      <c r="F537">
        <v>17.72</v>
      </c>
      <c r="G537">
        <v>17.29</v>
      </c>
      <c r="H537">
        <v>17.64</v>
      </c>
      <c r="I537">
        <v>17.71</v>
      </c>
      <c r="J537">
        <v>17.87</v>
      </c>
      <c r="K537">
        <v>18.18</v>
      </c>
      <c r="L537">
        <v>17.829999999999998</v>
      </c>
      <c r="M537">
        <v>17.61</v>
      </c>
      <c r="N537">
        <v>17.690000000000001</v>
      </c>
      <c r="O537">
        <v>17.48</v>
      </c>
      <c r="P537">
        <v>17.45</v>
      </c>
      <c r="Q537">
        <v>17.3</v>
      </c>
      <c r="R537">
        <v>17.14</v>
      </c>
      <c r="S537">
        <v>16.739999999999998</v>
      </c>
      <c r="T537">
        <v>16.649999999999999</v>
      </c>
      <c r="U537">
        <v>16.7</v>
      </c>
      <c r="V537">
        <v>16.97</v>
      </c>
      <c r="W537">
        <v>17.170000000000002</v>
      </c>
    </row>
    <row r="538" spans="1:23" x14ac:dyDescent="0.35">
      <c r="A538" s="2" t="s">
        <v>849</v>
      </c>
      <c r="B538">
        <v>31.42</v>
      </c>
      <c r="C538">
        <v>31.42</v>
      </c>
      <c r="D538">
        <v>31.77</v>
      </c>
      <c r="E538">
        <v>32.29</v>
      </c>
      <c r="F538">
        <v>32.56</v>
      </c>
      <c r="G538">
        <v>33.36</v>
      </c>
      <c r="H538">
        <v>34.020000000000003</v>
      </c>
      <c r="I538">
        <v>34.11</v>
      </c>
      <c r="J538">
        <v>34.31</v>
      </c>
      <c r="K538">
        <v>34.04</v>
      </c>
      <c r="L538">
        <v>34.31</v>
      </c>
      <c r="M538">
        <v>34.71</v>
      </c>
      <c r="N538">
        <v>34.58</v>
      </c>
      <c r="O538">
        <v>34.65</v>
      </c>
      <c r="P538">
        <v>34.630000000000003</v>
      </c>
      <c r="Q538">
        <v>34.4</v>
      </c>
      <c r="R538">
        <v>34.17</v>
      </c>
      <c r="S538">
        <v>34.4</v>
      </c>
      <c r="T538">
        <v>34.4</v>
      </c>
      <c r="U538">
        <v>34.229999999999997</v>
      </c>
      <c r="V538">
        <v>34.479999999999997</v>
      </c>
      <c r="W538">
        <v>34.4</v>
      </c>
    </row>
    <row r="539" spans="1:23" x14ac:dyDescent="0.35">
      <c r="A539" s="2" t="s">
        <v>476</v>
      </c>
      <c r="B539">
        <v>6.39</v>
      </c>
      <c r="C539">
        <v>6.41</v>
      </c>
      <c r="D539">
        <v>6.5</v>
      </c>
      <c r="E539">
        <v>6.6</v>
      </c>
      <c r="F539">
        <v>6.66</v>
      </c>
      <c r="G539">
        <v>6.78</v>
      </c>
      <c r="H539">
        <v>6.8</v>
      </c>
      <c r="I539">
        <v>6.8</v>
      </c>
      <c r="J539">
        <v>6.86</v>
      </c>
      <c r="K539">
        <v>6.88</v>
      </c>
      <c r="L539">
        <v>6.93</v>
      </c>
      <c r="M539">
        <v>6.94</v>
      </c>
      <c r="N539">
        <v>6.93</v>
      </c>
      <c r="O539">
        <v>6.94</v>
      </c>
      <c r="P539">
        <v>6.92</v>
      </c>
      <c r="Q539">
        <v>6.93</v>
      </c>
      <c r="R539">
        <v>6.92</v>
      </c>
      <c r="S539">
        <v>6.9</v>
      </c>
      <c r="T539">
        <v>6.94</v>
      </c>
      <c r="U539">
        <v>6.95</v>
      </c>
      <c r="V539">
        <v>7.03</v>
      </c>
      <c r="W539">
        <v>7.02</v>
      </c>
    </row>
    <row r="540" spans="1:23" x14ac:dyDescent="0.35">
      <c r="A540" s="2" t="s">
        <v>477</v>
      </c>
      <c r="B540">
        <v>5.72</v>
      </c>
      <c r="C540">
        <v>5.85</v>
      </c>
      <c r="D540">
        <v>5.86</v>
      </c>
      <c r="E540">
        <v>5.97</v>
      </c>
      <c r="F540">
        <v>6.05</v>
      </c>
      <c r="G540">
        <v>6.09</v>
      </c>
      <c r="H540">
        <v>6.21</v>
      </c>
      <c r="I540">
        <v>6.22</v>
      </c>
      <c r="J540">
        <v>6.22</v>
      </c>
      <c r="K540">
        <v>6.05</v>
      </c>
      <c r="L540">
        <v>5.91</v>
      </c>
      <c r="M540">
        <v>5.92</v>
      </c>
      <c r="N540">
        <v>5.96</v>
      </c>
      <c r="O540">
        <v>5.99</v>
      </c>
      <c r="P540">
        <v>6.01</v>
      </c>
      <c r="Q540">
        <v>6.03</v>
      </c>
      <c r="R540">
        <v>6.18</v>
      </c>
      <c r="S540">
        <v>6.31</v>
      </c>
      <c r="T540">
        <v>6.32</v>
      </c>
      <c r="U540">
        <v>6.39</v>
      </c>
      <c r="V540">
        <v>6.44</v>
      </c>
      <c r="W540">
        <v>6.42</v>
      </c>
    </row>
    <row r="541" spans="1:23" x14ac:dyDescent="0.35">
      <c r="A541" s="2" t="s">
        <v>478</v>
      </c>
      <c r="B541">
        <v>6.67</v>
      </c>
      <c r="C541">
        <v>6.63</v>
      </c>
      <c r="D541">
        <v>6.52</v>
      </c>
      <c r="E541">
        <v>6.43</v>
      </c>
      <c r="F541">
        <v>5.53</v>
      </c>
      <c r="G541">
        <v>5.48</v>
      </c>
      <c r="H541">
        <v>5.37</v>
      </c>
      <c r="I541">
        <v>5.43</v>
      </c>
      <c r="J541">
        <v>5.23</v>
      </c>
      <c r="K541">
        <v>5.19</v>
      </c>
      <c r="L541">
        <v>5.3</v>
      </c>
      <c r="M541">
        <v>5.38</v>
      </c>
      <c r="N541">
        <v>5.32</v>
      </c>
      <c r="O541">
        <v>5.21</v>
      </c>
      <c r="P541">
        <v>5.23</v>
      </c>
      <c r="Q541">
        <v>5.34</v>
      </c>
      <c r="R541">
        <v>5.34</v>
      </c>
      <c r="S541">
        <v>5.42</v>
      </c>
      <c r="T541">
        <v>5.55</v>
      </c>
      <c r="U541">
        <v>5.74</v>
      </c>
      <c r="V541">
        <v>6.04</v>
      </c>
      <c r="W541">
        <v>6.23</v>
      </c>
    </row>
    <row r="542" spans="1:23" x14ac:dyDescent="0.35">
      <c r="A542" s="2" t="s">
        <v>479</v>
      </c>
      <c r="B542">
        <v>21.1</v>
      </c>
      <c r="C542">
        <v>21.26</v>
      </c>
      <c r="D542">
        <v>21.39</v>
      </c>
      <c r="E542">
        <v>21.52</v>
      </c>
      <c r="F542">
        <v>21.91</v>
      </c>
      <c r="G542">
        <v>21.82</v>
      </c>
      <c r="H542">
        <v>21.64</v>
      </c>
      <c r="I542">
        <v>21.56</v>
      </c>
      <c r="J542">
        <v>21.44</v>
      </c>
      <c r="K542">
        <v>21.56</v>
      </c>
      <c r="L542">
        <v>21.29</v>
      </c>
      <c r="M542">
        <v>21.21</v>
      </c>
      <c r="N542">
        <v>21.32</v>
      </c>
      <c r="O542">
        <v>21.31</v>
      </c>
      <c r="P542">
        <v>21.28</v>
      </c>
      <c r="Q542">
        <v>21.36</v>
      </c>
      <c r="R542">
        <v>21.18</v>
      </c>
      <c r="S542">
        <v>21.13</v>
      </c>
      <c r="T542">
        <v>21.2</v>
      </c>
      <c r="U542">
        <v>21.28</v>
      </c>
      <c r="V542">
        <v>21.2</v>
      </c>
      <c r="W542">
        <v>21.26</v>
      </c>
    </row>
    <row r="543" spans="1:23" x14ac:dyDescent="0.35">
      <c r="A543" s="2" t="s">
        <v>850</v>
      </c>
      <c r="B543">
        <v>77.790000000000006</v>
      </c>
      <c r="C543">
        <v>77.349999999999994</v>
      </c>
      <c r="D543">
        <v>78.61</v>
      </c>
      <c r="E543">
        <v>79.67</v>
      </c>
      <c r="F543">
        <v>79.53</v>
      </c>
      <c r="G543">
        <v>79.38</v>
      </c>
      <c r="H543">
        <v>80.3</v>
      </c>
      <c r="I543">
        <v>79.48</v>
      </c>
      <c r="J543">
        <v>79.58</v>
      </c>
      <c r="K543">
        <v>79.48</v>
      </c>
      <c r="L543">
        <v>79.33</v>
      </c>
      <c r="M543">
        <v>80.400000000000006</v>
      </c>
      <c r="N543">
        <v>80.3</v>
      </c>
      <c r="O543">
        <v>80.59</v>
      </c>
      <c r="P543">
        <v>81.900000000000006</v>
      </c>
      <c r="Q543">
        <v>82.19</v>
      </c>
      <c r="R543">
        <v>82.97</v>
      </c>
      <c r="S543">
        <v>84.08</v>
      </c>
      <c r="T543">
        <v>83.84</v>
      </c>
      <c r="U543">
        <v>83.55</v>
      </c>
      <c r="V543">
        <v>84.13</v>
      </c>
      <c r="W543">
        <v>84.27</v>
      </c>
    </row>
    <row r="544" spans="1:23" x14ac:dyDescent="0.35">
      <c r="A544" s="2" t="s">
        <v>851</v>
      </c>
      <c r="B544">
        <v>77.790000000000006</v>
      </c>
      <c r="C544">
        <v>77.349999999999994</v>
      </c>
      <c r="D544">
        <v>78.61</v>
      </c>
      <c r="E544">
        <v>79.67</v>
      </c>
      <c r="F544">
        <v>79.53</v>
      </c>
      <c r="G544">
        <v>79.38</v>
      </c>
      <c r="H544">
        <v>80.3</v>
      </c>
      <c r="I544">
        <v>79.48</v>
      </c>
      <c r="J544">
        <v>79.58</v>
      </c>
      <c r="K544">
        <v>79.48</v>
      </c>
      <c r="L544">
        <v>79.33</v>
      </c>
      <c r="M544">
        <v>80.400000000000006</v>
      </c>
      <c r="N544">
        <v>80.3</v>
      </c>
      <c r="O544">
        <v>80.59</v>
      </c>
      <c r="P544">
        <v>81.900000000000006</v>
      </c>
      <c r="Q544">
        <v>82.19</v>
      </c>
      <c r="R544">
        <v>82.97</v>
      </c>
      <c r="S544">
        <v>84.08</v>
      </c>
      <c r="T544">
        <v>83.84</v>
      </c>
      <c r="U544">
        <v>83.55</v>
      </c>
      <c r="V544">
        <v>84.13</v>
      </c>
      <c r="W544">
        <v>84.27</v>
      </c>
    </row>
    <row r="545" spans="1:23" x14ac:dyDescent="0.35">
      <c r="A545" s="2" t="s">
        <v>480</v>
      </c>
      <c r="B545">
        <v>10.96</v>
      </c>
      <c r="C545">
        <v>11.42</v>
      </c>
      <c r="D545">
        <v>11.75</v>
      </c>
      <c r="E545">
        <v>11.98</v>
      </c>
      <c r="F545">
        <v>11.73</v>
      </c>
      <c r="G545">
        <v>11.65</v>
      </c>
      <c r="H545">
        <v>11.45</v>
      </c>
      <c r="I545">
        <v>11.31</v>
      </c>
      <c r="J545">
        <v>10.78</v>
      </c>
      <c r="K545">
        <v>10.59</v>
      </c>
      <c r="L545">
        <v>10.08</v>
      </c>
      <c r="M545">
        <v>10.050000000000001</v>
      </c>
      <c r="N545">
        <v>10.119999999999999</v>
      </c>
      <c r="O545">
        <v>10.23</v>
      </c>
      <c r="P545">
        <v>10.11</v>
      </c>
      <c r="Q545">
        <v>10.09</v>
      </c>
      <c r="R545">
        <v>10.11</v>
      </c>
      <c r="S545">
        <v>10.19</v>
      </c>
      <c r="T545">
        <v>10.050000000000001</v>
      </c>
      <c r="U545">
        <v>10.09</v>
      </c>
      <c r="V545">
        <v>10.07</v>
      </c>
      <c r="W545">
        <v>9.91</v>
      </c>
    </row>
    <row r="546" spans="1:23" x14ac:dyDescent="0.35">
      <c r="A546" s="2" t="s">
        <v>481</v>
      </c>
      <c r="B546">
        <v>1</v>
      </c>
      <c r="C546">
        <v>0.99</v>
      </c>
      <c r="D546">
        <v>1.02</v>
      </c>
      <c r="E546">
        <v>1.04</v>
      </c>
      <c r="F546">
        <v>1.03</v>
      </c>
      <c r="G546">
        <v>1.02</v>
      </c>
      <c r="H546">
        <v>1.02</v>
      </c>
      <c r="I546">
        <v>1.04</v>
      </c>
      <c r="J546">
        <v>1.02</v>
      </c>
      <c r="K546">
        <v>1.02</v>
      </c>
      <c r="L546">
        <v>1</v>
      </c>
      <c r="M546">
        <v>1</v>
      </c>
      <c r="N546">
        <v>0.99</v>
      </c>
      <c r="O546">
        <v>0.97</v>
      </c>
      <c r="P546">
        <v>0.99</v>
      </c>
      <c r="Q546">
        <v>0.99</v>
      </c>
      <c r="R546">
        <v>0.98</v>
      </c>
      <c r="S546">
        <v>0.97</v>
      </c>
      <c r="T546">
        <v>0.97</v>
      </c>
      <c r="U546">
        <v>0.97</v>
      </c>
      <c r="V546">
        <v>0.98</v>
      </c>
      <c r="W546">
        <v>0.98</v>
      </c>
    </row>
    <row r="547" spans="1:23" x14ac:dyDescent="0.35">
      <c r="A547" s="2" t="s">
        <v>482</v>
      </c>
      <c r="B547">
        <v>14.79</v>
      </c>
      <c r="C547">
        <v>14.62</v>
      </c>
      <c r="D547">
        <v>14.29</v>
      </c>
      <c r="E547">
        <v>14.62</v>
      </c>
      <c r="F547">
        <v>14.74</v>
      </c>
      <c r="G547">
        <v>14.32</v>
      </c>
      <c r="H547">
        <v>14.19</v>
      </c>
      <c r="I547">
        <v>14.13</v>
      </c>
      <c r="J547">
        <v>14.13</v>
      </c>
      <c r="K547">
        <v>13.7</v>
      </c>
      <c r="L547">
        <v>13.29</v>
      </c>
      <c r="M547">
        <v>13.3</v>
      </c>
      <c r="N547">
        <v>13.08</v>
      </c>
      <c r="O547">
        <v>12.9</v>
      </c>
      <c r="P547">
        <v>12.68</v>
      </c>
      <c r="Q547">
        <v>12.49</v>
      </c>
      <c r="R547">
        <v>12.22</v>
      </c>
      <c r="S547">
        <v>12.18</v>
      </c>
      <c r="T547">
        <v>12.21</v>
      </c>
      <c r="U547">
        <v>12.38</v>
      </c>
      <c r="V547">
        <v>12.14</v>
      </c>
      <c r="W547">
        <v>11.97</v>
      </c>
    </row>
    <row r="548" spans="1:23" x14ac:dyDescent="0.35">
      <c r="A548" s="2" t="s">
        <v>852</v>
      </c>
      <c r="B548">
        <v>25.17</v>
      </c>
      <c r="C548">
        <v>25.58</v>
      </c>
      <c r="D548">
        <v>25.85</v>
      </c>
      <c r="E548">
        <v>26.17</v>
      </c>
      <c r="F548">
        <v>26.4</v>
      </c>
      <c r="G548">
        <v>26.38</v>
      </c>
      <c r="H548">
        <v>26.58</v>
      </c>
      <c r="I548">
        <v>26.17</v>
      </c>
      <c r="J548">
        <v>25.89</v>
      </c>
      <c r="K548">
        <v>25.48</v>
      </c>
      <c r="L548">
        <v>25.48</v>
      </c>
      <c r="M548">
        <v>25.78</v>
      </c>
      <c r="N548">
        <v>25.25</v>
      </c>
      <c r="O548">
        <v>25.48</v>
      </c>
      <c r="P548">
        <v>24.99</v>
      </c>
      <c r="Q548">
        <v>25.33</v>
      </c>
      <c r="R548">
        <v>25.46</v>
      </c>
      <c r="S548">
        <v>25.35</v>
      </c>
      <c r="T548">
        <v>24.97</v>
      </c>
      <c r="U548">
        <v>24.33</v>
      </c>
      <c r="V548">
        <v>24.47</v>
      </c>
      <c r="W548">
        <v>25.6</v>
      </c>
    </row>
    <row r="549" spans="1:23" x14ac:dyDescent="0.35">
      <c r="A549" s="2" t="s">
        <v>483</v>
      </c>
      <c r="B549">
        <v>1.74</v>
      </c>
      <c r="C549">
        <v>1.75</v>
      </c>
      <c r="D549">
        <v>1.77</v>
      </c>
      <c r="E549">
        <v>1.78</v>
      </c>
      <c r="F549">
        <v>1.8</v>
      </c>
      <c r="G549">
        <v>1.81</v>
      </c>
      <c r="H549">
        <v>1.85</v>
      </c>
      <c r="I549">
        <v>1.87</v>
      </c>
      <c r="J549">
        <v>1.86</v>
      </c>
      <c r="K549">
        <v>1.86</v>
      </c>
      <c r="L549">
        <v>1.87</v>
      </c>
      <c r="M549">
        <v>1.89</v>
      </c>
      <c r="N549">
        <v>1.89</v>
      </c>
      <c r="O549">
        <v>1.88</v>
      </c>
      <c r="P549">
        <v>1.9</v>
      </c>
      <c r="Q549">
        <v>1.89</v>
      </c>
      <c r="R549">
        <v>1.9</v>
      </c>
      <c r="S549">
        <v>1.9</v>
      </c>
      <c r="T549">
        <v>1.9</v>
      </c>
      <c r="U549">
        <v>1.9</v>
      </c>
      <c r="V549">
        <v>1.88</v>
      </c>
      <c r="W549">
        <v>1.89</v>
      </c>
    </row>
    <row r="550" spans="1:23" x14ac:dyDescent="0.35">
      <c r="A550" s="2" t="s">
        <v>484</v>
      </c>
      <c r="B550">
        <v>13</v>
      </c>
      <c r="C550">
        <v>12.96</v>
      </c>
      <c r="D550">
        <v>13.2</v>
      </c>
      <c r="E550">
        <v>13.22</v>
      </c>
      <c r="F550">
        <v>13.17</v>
      </c>
      <c r="G550">
        <v>13.23</v>
      </c>
      <c r="H550">
        <v>13.29</v>
      </c>
      <c r="I550">
        <v>13.59</v>
      </c>
      <c r="J550">
        <v>13.72</v>
      </c>
      <c r="K550">
        <v>13.65</v>
      </c>
      <c r="L550">
        <v>13.68</v>
      </c>
      <c r="M550">
        <v>13.39</v>
      </c>
      <c r="N550">
        <v>13.47</v>
      </c>
      <c r="O550">
        <v>13.69</v>
      </c>
      <c r="P550">
        <v>13.86</v>
      </c>
      <c r="Q550">
        <v>13.62</v>
      </c>
      <c r="R550">
        <v>13.64</v>
      </c>
      <c r="S550">
        <v>13.45</v>
      </c>
      <c r="T550">
        <v>13.99</v>
      </c>
      <c r="U550">
        <v>13.8</v>
      </c>
      <c r="V550">
        <v>13.98</v>
      </c>
      <c r="W550">
        <v>14.46</v>
      </c>
    </row>
    <row r="551" spans="1:23" x14ac:dyDescent="0.35">
      <c r="A551" s="2" t="s">
        <v>485</v>
      </c>
      <c r="B551">
        <v>1.67</v>
      </c>
      <c r="C551">
        <v>1.67</v>
      </c>
      <c r="D551">
        <v>1.67</v>
      </c>
      <c r="E551">
        <v>1.69</v>
      </c>
      <c r="F551">
        <v>1.69</v>
      </c>
      <c r="G551">
        <v>1.69</v>
      </c>
      <c r="H551">
        <v>1.71</v>
      </c>
      <c r="I551">
        <v>1.71</v>
      </c>
      <c r="J551">
        <v>1.71</v>
      </c>
      <c r="K551">
        <v>1.71</v>
      </c>
      <c r="L551">
        <v>1.72</v>
      </c>
      <c r="M551">
        <v>1.72</v>
      </c>
      <c r="N551">
        <v>1.72</v>
      </c>
      <c r="O551">
        <v>1.72</v>
      </c>
      <c r="P551">
        <v>1.72</v>
      </c>
      <c r="Q551">
        <v>1.79</v>
      </c>
      <c r="R551">
        <v>1.79</v>
      </c>
      <c r="S551">
        <v>1.79</v>
      </c>
      <c r="T551">
        <v>1.79</v>
      </c>
      <c r="U551">
        <v>1.79</v>
      </c>
      <c r="V551">
        <v>1.79</v>
      </c>
      <c r="W551">
        <v>1.79</v>
      </c>
    </row>
    <row r="552" spans="1:23" x14ac:dyDescent="0.35">
      <c r="A552" s="2" t="s">
        <v>486</v>
      </c>
      <c r="B552">
        <v>1.74</v>
      </c>
      <c r="C552">
        <v>1.73</v>
      </c>
      <c r="D552">
        <v>1.72</v>
      </c>
      <c r="E552">
        <v>1.74</v>
      </c>
      <c r="F552">
        <v>1.74</v>
      </c>
      <c r="G552">
        <v>1.73</v>
      </c>
      <c r="H552">
        <v>1.77</v>
      </c>
      <c r="I552">
        <v>1.79</v>
      </c>
      <c r="J552">
        <v>1.75</v>
      </c>
      <c r="K552">
        <v>1.69</v>
      </c>
      <c r="L552">
        <v>1.69</v>
      </c>
      <c r="M552">
        <v>1.71</v>
      </c>
      <c r="N552">
        <v>1.73</v>
      </c>
      <c r="O552">
        <v>1.73</v>
      </c>
      <c r="P552">
        <v>1.79</v>
      </c>
      <c r="Q552">
        <v>1.77</v>
      </c>
      <c r="R552">
        <v>1.82</v>
      </c>
      <c r="S552">
        <v>1.82</v>
      </c>
      <c r="T552">
        <v>1.84</v>
      </c>
      <c r="U552">
        <v>1.85</v>
      </c>
      <c r="V552">
        <v>1.81</v>
      </c>
      <c r="W552">
        <v>1.78</v>
      </c>
    </row>
    <row r="553" spans="1:23" x14ac:dyDescent="0.35">
      <c r="A553" s="2" t="s">
        <v>487</v>
      </c>
      <c r="B553">
        <v>1.83</v>
      </c>
      <c r="C553">
        <v>1.8</v>
      </c>
      <c r="D553">
        <v>1.82</v>
      </c>
      <c r="E553">
        <v>1.82</v>
      </c>
      <c r="F553">
        <v>1.8</v>
      </c>
      <c r="G553">
        <v>1.84</v>
      </c>
      <c r="H553">
        <v>1.84</v>
      </c>
      <c r="I553">
        <v>1.88</v>
      </c>
      <c r="J553">
        <v>1.85</v>
      </c>
      <c r="K553">
        <v>1.86</v>
      </c>
      <c r="L553">
        <v>1.84</v>
      </c>
      <c r="M553">
        <v>1.89</v>
      </c>
      <c r="N553">
        <v>1.89</v>
      </c>
      <c r="O553">
        <v>1.88</v>
      </c>
      <c r="P553">
        <v>1.89</v>
      </c>
      <c r="Q553">
        <v>1.9</v>
      </c>
      <c r="R553">
        <v>1.89</v>
      </c>
      <c r="S553">
        <v>1.91</v>
      </c>
      <c r="T553">
        <v>1.9</v>
      </c>
      <c r="U553">
        <v>1.92</v>
      </c>
      <c r="V553">
        <v>1.93</v>
      </c>
      <c r="W553">
        <v>1.93</v>
      </c>
    </row>
    <row r="554" spans="1:23" x14ac:dyDescent="0.35">
      <c r="A554" s="2" t="s">
        <v>488</v>
      </c>
      <c r="B554">
        <v>2.33</v>
      </c>
      <c r="C554">
        <v>2.3199999999999998</v>
      </c>
      <c r="D554">
        <v>2.3199999999999998</v>
      </c>
      <c r="E554">
        <v>2.2999999999999998</v>
      </c>
      <c r="F554">
        <v>2.29</v>
      </c>
      <c r="G554">
        <v>2.27</v>
      </c>
      <c r="H554">
        <v>2.27</v>
      </c>
      <c r="I554">
        <v>2.2599999999999998</v>
      </c>
      <c r="J554">
        <v>2.2599999999999998</v>
      </c>
      <c r="K554">
        <v>2.2599999999999998</v>
      </c>
      <c r="L554">
        <v>2.2799999999999998</v>
      </c>
      <c r="M554">
        <v>2.27</v>
      </c>
      <c r="N554">
        <v>2.2599999999999998</v>
      </c>
      <c r="O554">
        <v>2.2799999999999998</v>
      </c>
      <c r="P554">
        <v>2.27</v>
      </c>
      <c r="Q554">
        <v>2.27</v>
      </c>
      <c r="R554">
        <v>2.2599999999999998</v>
      </c>
      <c r="S554">
        <v>2.2799999999999998</v>
      </c>
      <c r="T554">
        <v>2.33</v>
      </c>
      <c r="U554">
        <v>2.39</v>
      </c>
      <c r="V554">
        <v>2.38</v>
      </c>
      <c r="W554">
        <v>2.38</v>
      </c>
    </row>
    <row r="555" spans="1:23" x14ac:dyDescent="0.35">
      <c r="A555" s="2" t="s">
        <v>489</v>
      </c>
      <c r="B555">
        <v>28.73</v>
      </c>
      <c r="C555">
        <v>28.51</v>
      </c>
      <c r="D555">
        <v>28.83</v>
      </c>
      <c r="E555">
        <v>29.79</v>
      </c>
      <c r="F555">
        <v>25.97</v>
      </c>
      <c r="G555">
        <v>26.12</v>
      </c>
      <c r="H555">
        <v>26.56</v>
      </c>
      <c r="I555">
        <v>26.44</v>
      </c>
      <c r="J555">
        <v>26.29</v>
      </c>
      <c r="K555">
        <v>26.24</v>
      </c>
      <c r="L555">
        <v>26.44</v>
      </c>
      <c r="M555">
        <v>26.34</v>
      </c>
      <c r="N555">
        <v>26.29</v>
      </c>
      <c r="O555">
        <v>25.97</v>
      </c>
      <c r="P555">
        <v>26.07</v>
      </c>
      <c r="Q555">
        <v>26.16</v>
      </c>
      <c r="R555">
        <v>26.46</v>
      </c>
      <c r="S555">
        <v>26.26</v>
      </c>
      <c r="T555">
        <v>26.29</v>
      </c>
      <c r="U555">
        <v>26.43</v>
      </c>
      <c r="V555">
        <v>27.4</v>
      </c>
      <c r="W555">
        <v>27.69</v>
      </c>
    </row>
    <row r="556" spans="1:23" x14ac:dyDescent="0.35">
      <c r="A556" s="2" t="s">
        <v>490</v>
      </c>
      <c r="B556">
        <v>0.09</v>
      </c>
      <c r="C556">
        <v>0.09</v>
      </c>
      <c r="D556">
        <v>0.09</v>
      </c>
      <c r="E556">
        <v>0.1</v>
      </c>
      <c r="F556">
        <v>0.1</v>
      </c>
      <c r="G556">
        <v>0.1</v>
      </c>
      <c r="H556">
        <v>0.1</v>
      </c>
      <c r="I556">
        <v>0.1</v>
      </c>
      <c r="J556">
        <v>0.1</v>
      </c>
      <c r="K556">
        <v>0.1</v>
      </c>
      <c r="L556">
        <v>0.1</v>
      </c>
      <c r="M556">
        <v>0.1</v>
      </c>
      <c r="N556">
        <v>0.1</v>
      </c>
      <c r="O556">
        <v>0.1</v>
      </c>
      <c r="P556">
        <v>0.1</v>
      </c>
      <c r="Q556">
        <v>0.1</v>
      </c>
      <c r="R556">
        <v>0.1</v>
      </c>
      <c r="S556">
        <v>0.09</v>
      </c>
      <c r="T556">
        <v>0.09</v>
      </c>
      <c r="U556">
        <v>0.09</v>
      </c>
      <c r="V556">
        <v>0.09</v>
      </c>
      <c r="W556">
        <v>0.1</v>
      </c>
    </row>
    <row r="557" spans="1:23" x14ac:dyDescent="0.35">
      <c r="A557" s="2" t="s">
        <v>491</v>
      </c>
      <c r="B557">
        <v>0.8</v>
      </c>
      <c r="C557">
        <v>0.79</v>
      </c>
      <c r="D557">
        <v>0.8</v>
      </c>
      <c r="E557">
        <v>0.8</v>
      </c>
      <c r="F557">
        <v>0.81</v>
      </c>
      <c r="G557">
        <v>0.82</v>
      </c>
      <c r="H557">
        <v>0.82</v>
      </c>
      <c r="I557">
        <v>0.82</v>
      </c>
      <c r="J557">
        <v>0.83</v>
      </c>
      <c r="K557">
        <v>0.83</v>
      </c>
      <c r="L557">
        <v>0.84</v>
      </c>
      <c r="M557">
        <v>0.85</v>
      </c>
      <c r="N557">
        <v>0.85</v>
      </c>
      <c r="O557">
        <v>0.85</v>
      </c>
      <c r="P557">
        <v>0.85</v>
      </c>
      <c r="Q557">
        <v>0.86</v>
      </c>
      <c r="R557">
        <v>0.86</v>
      </c>
      <c r="S557">
        <v>0.85</v>
      </c>
      <c r="T557">
        <v>0.85</v>
      </c>
      <c r="U557">
        <v>0.85</v>
      </c>
      <c r="V557">
        <v>0.84</v>
      </c>
      <c r="W557">
        <v>0.84</v>
      </c>
    </row>
    <row r="558" spans="1:23" x14ac:dyDescent="0.35">
      <c r="A558" s="2" t="s">
        <v>492</v>
      </c>
      <c r="B558">
        <v>2.34</v>
      </c>
      <c r="C558">
        <v>2.38</v>
      </c>
      <c r="D558">
        <v>2.48</v>
      </c>
      <c r="E558">
        <v>2.5</v>
      </c>
      <c r="F558">
        <v>2.48</v>
      </c>
      <c r="G558">
        <v>2.48</v>
      </c>
      <c r="H558">
        <v>2.48</v>
      </c>
      <c r="I558">
        <v>2.5099999999999998</v>
      </c>
      <c r="J558">
        <v>2.54</v>
      </c>
      <c r="K558">
        <v>2.54</v>
      </c>
      <c r="L558">
        <v>2.5099999999999998</v>
      </c>
      <c r="M558">
        <v>2.4700000000000002</v>
      </c>
      <c r="N558">
        <v>2.5</v>
      </c>
      <c r="O558">
        <v>2.48</v>
      </c>
      <c r="P558">
        <v>2.48</v>
      </c>
      <c r="Q558">
        <v>2.48</v>
      </c>
      <c r="R558">
        <v>2.4300000000000002</v>
      </c>
      <c r="S558">
        <v>2.38</v>
      </c>
      <c r="T558">
        <v>2.4300000000000002</v>
      </c>
      <c r="U558">
        <v>2.42</v>
      </c>
      <c r="V558">
        <v>2.4300000000000002</v>
      </c>
      <c r="W558">
        <v>2.36</v>
      </c>
    </row>
    <row r="559" spans="1:23" x14ac:dyDescent="0.35">
      <c r="A559" s="2" t="s">
        <v>493</v>
      </c>
      <c r="B559">
        <v>27.6</v>
      </c>
      <c r="C559">
        <v>27.12</v>
      </c>
      <c r="D559">
        <v>28.44</v>
      </c>
      <c r="E559">
        <v>30.14</v>
      </c>
      <c r="F559">
        <v>31</v>
      </c>
      <c r="G559">
        <v>30.21</v>
      </c>
      <c r="H559">
        <v>28.4</v>
      </c>
      <c r="I559">
        <v>27.21</v>
      </c>
      <c r="J559">
        <v>26.61</v>
      </c>
      <c r="K559">
        <v>26.18</v>
      </c>
      <c r="L559">
        <v>24.59</v>
      </c>
      <c r="M559">
        <v>23.32</v>
      </c>
      <c r="N559">
        <v>23.03</v>
      </c>
      <c r="O559">
        <v>23.34</v>
      </c>
      <c r="P559">
        <v>22.86</v>
      </c>
      <c r="Q559">
        <v>24.16</v>
      </c>
      <c r="R559">
        <v>23.79</v>
      </c>
      <c r="S559">
        <v>23.45</v>
      </c>
      <c r="T559">
        <v>21.2</v>
      </c>
      <c r="U559">
        <v>20.69</v>
      </c>
      <c r="V559">
        <v>20.52</v>
      </c>
      <c r="W559">
        <v>20.64</v>
      </c>
    </row>
    <row r="560" spans="1:23" x14ac:dyDescent="0.35">
      <c r="A560" s="2" t="s">
        <v>494</v>
      </c>
      <c r="B560">
        <v>11.95</v>
      </c>
      <c r="C560">
        <v>12.58</v>
      </c>
      <c r="D560">
        <v>13.02</v>
      </c>
      <c r="E560">
        <v>13.57</v>
      </c>
      <c r="F560">
        <v>13.91</v>
      </c>
      <c r="G560">
        <v>14.37</v>
      </c>
      <c r="H560">
        <v>14.74</v>
      </c>
      <c r="I560">
        <v>14.88</v>
      </c>
      <c r="J560">
        <v>15.12</v>
      </c>
      <c r="K560">
        <v>15.1</v>
      </c>
      <c r="L560">
        <v>15.38</v>
      </c>
      <c r="M560">
        <v>15.55</v>
      </c>
      <c r="N560">
        <v>15.48</v>
      </c>
      <c r="O560">
        <v>15.48</v>
      </c>
      <c r="P560">
        <v>15.52</v>
      </c>
      <c r="Q560">
        <v>15.42</v>
      </c>
      <c r="R560">
        <v>15.31</v>
      </c>
      <c r="S560">
        <v>15.16</v>
      </c>
      <c r="T560">
        <v>14.57</v>
      </c>
      <c r="U560">
        <v>14.22</v>
      </c>
      <c r="V560">
        <v>14.3</v>
      </c>
      <c r="W560">
        <v>14.19</v>
      </c>
    </row>
    <row r="561" spans="1:23" x14ac:dyDescent="0.35">
      <c r="A561" s="2" t="s">
        <v>495</v>
      </c>
      <c r="B561">
        <v>101.81</v>
      </c>
      <c r="C561">
        <v>100.49</v>
      </c>
      <c r="D561">
        <v>101.87</v>
      </c>
      <c r="E561">
        <v>104.94</v>
      </c>
      <c r="F561">
        <v>105</v>
      </c>
      <c r="G561">
        <v>104.44</v>
      </c>
      <c r="H561">
        <v>104.25</v>
      </c>
      <c r="I561">
        <v>104.94</v>
      </c>
      <c r="J561">
        <v>105.32</v>
      </c>
      <c r="K561">
        <v>107.94</v>
      </c>
      <c r="L561">
        <v>109.26</v>
      </c>
      <c r="M561">
        <v>111.26</v>
      </c>
      <c r="N561">
        <v>113.14</v>
      </c>
      <c r="O561">
        <v>112.95</v>
      </c>
      <c r="P561">
        <v>112.58</v>
      </c>
      <c r="Q561">
        <v>111.7</v>
      </c>
      <c r="R561">
        <v>110.57</v>
      </c>
      <c r="S561">
        <v>112.64</v>
      </c>
      <c r="T561">
        <v>112.89</v>
      </c>
      <c r="U561">
        <v>114.64</v>
      </c>
      <c r="V561">
        <v>114.27</v>
      </c>
      <c r="W561">
        <v>115.15</v>
      </c>
    </row>
    <row r="562" spans="1:23" x14ac:dyDescent="0.35">
      <c r="A562" s="2" t="s">
        <v>496</v>
      </c>
      <c r="B562">
        <v>1.99</v>
      </c>
      <c r="C562">
        <v>2.0099999999999998</v>
      </c>
      <c r="D562">
        <v>2.0499999999999998</v>
      </c>
      <c r="E562">
        <v>2.04</v>
      </c>
      <c r="F562">
        <v>2.0699999999999998</v>
      </c>
      <c r="G562">
        <v>2.11</v>
      </c>
      <c r="H562">
        <v>2.12</v>
      </c>
      <c r="I562">
        <v>2.14</v>
      </c>
      <c r="J562">
        <v>2.12</v>
      </c>
      <c r="K562">
        <v>2.1</v>
      </c>
      <c r="L562">
        <v>2.11</v>
      </c>
      <c r="M562">
        <v>2.09</v>
      </c>
      <c r="N562">
        <v>2.12</v>
      </c>
      <c r="O562">
        <v>2.13</v>
      </c>
      <c r="P562">
        <v>2.09</v>
      </c>
      <c r="Q562">
        <v>2.09</v>
      </c>
      <c r="R562">
        <v>2.14</v>
      </c>
      <c r="S562">
        <v>2.16</v>
      </c>
      <c r="T562">
        <v>2.16</v>
      </c>
      <c r="U562">
        <v>2.16</v>
      </c>
      <c r="V562">
        <v>2.16</v>
      </c>
      <c r="W562">
        <v>2.16</v>
      </c>
    </row>
    <row r="563" spans="1:23" x14ac:dyDescent="0.35">
      <c r="A563" s="2" t="s">
        <v>497</v>
      </c>
      <c r="B563">
        <v>4.03</v>
      </c>
      <c r="C563">
        <v>3.9</v>
      </c>
      <c r="D563">
        <v>3.72</v>
      </c>
      <c r="E563">
        <v>3.81</v>
      </c>
      <c r="F563">
        <v>3.78</v>
      </c>
      <c r="G563">
        <v>3.85</v>
      </c>
      <c r="H563">
        <v>3.64</v>
      </c>
      <c r="I563">
        <v>3.41</v>
      </c>
      <c r="J563">
        <v>3.27</v>
      </c>
      <c r="K563">
        <v>3.25</v>
      </c>
      <c r="L563">
        <v>3.14</v>
      </c>
      <c r="M563">
        <v>3.08</v>
      </c>
      <c r="N563">
        <v>2.96</v>
      </c>
      <c r="O563">
        <v>3.05</v>
      </c>
      <c r="P563">
        <v>2.99</v>
      </c>
      <c r="Q563">
        <v>2.97</v>
      </c>
      <c r="R563">
        <v>2.96</v>
      </c>
      <c r="S563">
        <v>2.83</v>
      </c>
      <c r="T563">
        <v>2.82</v>
      </c>
      <c r="U563">
        <v>2.95</v>
      </c>
      <c r="V563">
        <v>3.07</v>
      </c>
      <c r="W563">
        <v>3</v>
      </c>
    </row>
    <row r="564" spans="1:23" x14ac:dyDescent="0.35">
      <c r="A564" s="2" t="s">
        <v>498</v>
      </c>
      <c r="B564">
        <v>9.58</v>
      </c>
      <c r="C564">
        <v>9.77</v>
      </c>
      <c r="D564">
        <v>9.94</v>
      </c>
      <c r="E564">
        <v>10.44</v>
      </c>
      <c r="F564">
        <v>10.79</v>
      </c>
      <c r="G564">
        <v>11.05</v>
      </c>
      <c r="H564">
        <v>11.17</v>
      </c>
      <c r="I564">
        <v>11.21</v>
      </c>
      <c r="J564">
        <v>11.24</v>
      </c>
      <c r="K564">
        <v>11.3</v>
      </c>
      <c r="L564">
        <v>11.15</v>
      </c>
      <c r="M564">
        <v>11.06</v>
      </c>
      <c r="N564">
        <v>11.04</v>
      </c>
      <c r="O564">
        <v>10.98</v>
      </c>
      <c r="P564">
        <v>10.83</v>
      </c>
      <c r="Q564">
        <v>10.73</v>
      </c>
      <c r="R564">
        <v>10.56</v>
      </c>
      <c r="S564">
        <v>10.23</v>
      </c>
      <c r="T564">
        <v>9.77</v>
      </c>
      <c r="U564">
        <v>9.5399999999999991</v>
      </c>
      <c r="V564">
        <v>9.48</v>
      </c>
      <c r="W564">
        <v>9.5399999999999991</v>
      </c>
    </row>
    <row r="565" spans="1:23" x14ac:dyDescent="0.35">
      <c r="A565" s="2" t="s">
        <v>499</v>
      </c>
      <c r="B565">
        <v>1.96</v>
      </c>
      <c r="C565">
        <v>1.9</v>
      </c>
      <c r="D565">
        <v>1.9</v>
      </c>
      <c r="E565">
        <v>1.89</v>
      </c>
      <c r="F565">
        <v>1.81</v>
      </c>
      <c r="G565">
        <v>1.8</v>
      </c>
      <c r="H565">
        <v>1.73</v>
      </c>
      <c r="I565">
        <v>1.72</v>
      </c>
      <c r="J565">
        <v>1.7</v>
      </c>
      <c r="K565">
        <v>1.68</v>
      </c>
      <c r="L565">
        <v>1.67</v>
      </c>
      <c r="M565">
        <v>1.66</v>
      </c>
      <c r="N565">
        <v>1.56</v>
      </c>
      <c r="O565">
        <v>1.53</v>
      </c>
      <c r="P565">
        <v>1.51</v>
      </c>
      <c r="Q565">
        <v>1.45</v>
      </c>
      <c r="R565">
        <v>1.34</v>
      </c>
      <c r="S565">
        <v>1.22</v>
      </c>
      <c r="T565">
        <v>1.08</v>
      </c>
      <c r="U565">
        <v>1.04</v>
      </c>
      <c r="V565">
        <v>1.06</v>
      </c>
      <c r="W565">
        <v>1.07</v>
      </c>
    </row>
    <row r="566" spans="1:23" x14ac:dyDescent="0.35">
      <c r="A566" s="2" t="s">
        <v>500</v>
      </c>
      <c r="B566">
        <v>2.48</v>
      </c>
      <c r="C566">
        <v>2.63</v>
      </c>
      <c r="D566">
        <v>2.74</v>
      </c>
      <c r="E566">
        <v>2.95</v>
      </c>
      <c r="F566">
        <v>3.06</v>
      </c>
      <c r="G566">
        <v>3.03</v>
      </c>
      <c r="H566">
        <v>2.87</v>
      </c>
      <c r="I566">
        <v>2.76</v>
      </c>
      <c r="J566">
        <v>2.8</v>
      </c>
      <c r="K566">
        <v>2.91</v>
      </c>
      <c r="L566">
        <v>2.86</v>
      </c>
      <c r="M566">
        <v>2.78</v>
      </c>
      <c r="N566">
        <v>2.63</v>
      </c>
      <c r="O566">
        <v>2.52</v>
      </c>
      <c r="P566">
        <v>2.41</v>
      </c>
      <c r="Q566">
        <v>2.2799999999999998</v>
      </c>
      <c r="R566">
        <v>2.1</v>
      </c>
      <c r="S566">
        <v>1.93</v>
      </c>
      <c r="T566">
        <v>1.79</v>
      </c>
      <c r="U566">
        <v>1.78</v>
      </c>
      <c r="V566">
        <v>1.85</v>
      </c>
      <c r="W566">
        <v>1.89</v>
      </c>
    </row>
    <row r="567" spans="1:23" x14ac:dyDescent="0.35">
      <c r="A567" s="2" t="s">
        <v>501</v>
      </c>
      <c r="B567">
        <v>2.58</v>
      </c>
      <c r="C567">
        <v>2.7</v>
      </c>
      <c r="D567">
        <v>2.94</v>
      </c>
      <c r="E567">
        <v>2.95</v>
      </c>
      <c r="F567">
        <v>3.13</v>
      </c>
      <c r="G567">
        <v>3.13</v>
      </c>
      <c r="H567">
        <v>3.11</v>
      </c>
      <c r="I567">
        <v>3.21</v>
      </c>
      <c r="J567">
        <v>3.16</v>
      </c>
      <c r="K567">
        <v>3.4</v>
      </c>
      <c r="L567">
        <v>3.54</v>
      </c>
      <c r="M567">
        <v>3.51</v>
      </c>
      <c r="N567">
        <v>3.12</v>
      </c>
      <c r="O567">
        <v>2.97</v>
      </c>
      <c r="P567">
        <v>3.08</v>
      </c>
      <c r="Q567">
        <v>2.99</v>
      </c>
      <c r="R567">
        <v>2.93</v>
      </c>
      <c r="S567">
        <v>2.88</v>
      </c>
      <c r="T567">
        <v>2.8</v>
      </c>
      <c r="U567">
        <v>2.75</v>
      </c>
      <c r="V567">
        <v>2.67</v>
      </c>
      <c r="W567">
        <v>2.66</v>
      </c>
    </row>
    <row r="568" spans="1:23" x14ac:dyDescent="0.35">
      <c r="A568" s="2" t="s">
        <v>502</v>
      </c>
      <c r="B568">
        <v>79.209999999999994</v>
      </c>
      <c r="C568">
        <v>79.209999999999994</v>
      </c>
      <c r="D568">
        <v>79.06</v>
      </c>
      <c r="E568">
        <v>79.209999999999994</v>
      </c>
      <c r="F568">
        <v>79.78</v>
      </c>
      <c r="G568">
        <v>80.569999999999993</v>
      </c>
      <c r="H568">
        <v>80.64</v>
      </c>
      <c r="I568">
        <v>80.64</v>
      </c>
      <c r="J568">
        <v>80.569999999999993</v>
      </c>
      <c r="K568">
        <v>84.51</v>
      </c>
      <c r="L568">
        <v>84.51</v>
      </c>
      <c r="M568">
        <v>84.51</v>
      </c>
      <c r="N568">
        <v>85.23</v>
      </c>
      <c r="O568">
        <v>85.16</v>
      </c>
      <c r="P568">
        <v>84.51</v>
      </c>
      <c r="Q568">
        <v>84.87</v>
      </c>
      <c r="R568">
        <v>84.87</v>
      </c>
      <c r="S568">
        <v>84.87</v>
      </c>
      <c r="T568">
        <v>84.87</v>
      </c>
      <c r="U568">
        <v>82.58</v>
      </c>
      <c r="V568">
        <v>82.15</v>
      </c>
      <c r="W568">
        <v>82.15</v>
      </c>
    </row>
    <row r="569" spans="1:23" x14ac:dyDescent="0.35">
      <c r="A569" s="2" t="s">
        <v>503</v>
      </c>
      <c r="B569">
        <v>3.41</v>
      </c>
      <c r="C569">
        <v>3.44</v>
      </c>
      <c r="D569">
        <v>3.56</v>
      </c>
      <c r="E569">
        <v>3.67</v>
      </c>
      <c r="F569">
        <v>3.68</v>
      </c>
      <c r="G569">
        <v>3.76</v>
      </c>
      <c r="H569">
        <v>3.74</v>
      </c>
      <c r="I569">
        <v>3.68</v>
      </c>
      <c r="J569">
        <v>3.46</v>
      </c>
      <c r="K569">
        <v>3.41</v>
      </c>
      <c r="L569">
        <v>3.44</v>
      </c>
      <c r="M569">
        <v>3.37</v>
      </c>
      <c r="N569">
        <v>3.41</v>
      </c>
      <c r="O569">
        <v>3.48</v>
      </c>
      <c r="P569">
        <v>3.45</v>
      </c>
      <c r="Q569">
        <v>3.41</v>
      </c>
      <c r="R569">
        <v>3.44</v>
      </c>
      <c r="S569">
        <v>3.36</v>
      </c>
      <c r="T569">
        <v>3.37</v>
      </c>
      <c r="U569">
        <v>3.42</v>
      </c>
      <c r="V569">
        <v>3.39</v>
      </c>
      <c r="W569">
        <v>3.43</v>
      </c>
    </row>
    <row r="570" spans="1:23" x14ac:dyDescent="0.35">
      <c r="A570" s="2" t="s">
        <v>504</v>
      </c>
      <c r="B570">
        <v>2.36</v>
      </c>
      <c r="C570">
        <v>2.38</v>
      </c>
      <c r="D570">
        <v>2.4500000000000002</v>
      </c>
      <c r="E570">
        <v>2.48</v>
      </c>
      <c r="F570">
        <v>2.5299999999999998</v>
      </c>
      <c r="G570">
        <v>2.48</v>
      </c>
      <c r="H570">
        <v>2.5299999999999998</v>
      </c>
      <c r="I570">
        <v>2.61</v>
      </c>
      <c r="J570">
        <v>2.64</v>
      </c>
      <c r="K570">
        <v>2.66</v>
      </c>
      <c r="L570">
        <v>2.52</v>
      </c>
      <c r="M570">
        <v>2.54</v>
      </c>
      <c r="N570">
        <v>2.54</v>
      </c>
      <c r="O570">
        <v>2.5099999999999998</v>
      </c>
      <c r="P570">
        <v>2.5099999999999998</v>
      </c>
      <c r="Q570">
        <v>2.5</v>
      </c>
      <c r="R570">
        <v>2.41</v>
      </c>
      <c r="S570">
        <v>2.41</v>
      </c>
      <c r="T570">
        <v>2.42</v>
      </c>
      <c r="U570">
        <v>2.48</v>
      </c>
      <c r="V570">
        <v>2.48</v>
      </c>
      <c r="W570">
        <v>2.4900000000000002</v>
      </c>
    </row>
    <row r="571" spans="1:23" x14ac:dyDescent="0.35">
      <c r="A571" s="2" t="s">
        <v>505</v>
      </c>
      <c r="B571">
        <v>10.050000000000001</v>
      </c>
      <c r="C571">
        <v>10.050000000000001</v>
      </c>
      <c r="D571">
        <v>10.25</v>
      </c>
      <c r="E571">
        <v>10.36</v>
      </c>
      <c r="F571">
        <v>10.52</v>
      </c>
      <c r="G571">
        <v>10.46</v>
      </c>
      <c r="H571">
        <v>10.52</v>
      </c>
      <c r="I571">
        <v>10.54</v>
      </c>
      <c r="J571">
        <v>10.42</v>
      </c>
      <c r="K571">
        <v>10.32</v>
      </c>
      <c r="L571">
        <v>10.24</v>
      </c>
      <c r="M571">
        <v>10.31</v>
      </c>
      <c r="N571">
        <v>10.199999999999999</v>
      </c>
      <c r="O571">
        <v>9.98</v>
      </c>
      <c r="P571">
        <v>9.98</v>
      </c>
      <c r="Q571">
        <v>9.93</v>
      </c>
      <c r="R571">
        <v>9.8000000000000007</v>
      </c>
      <c r="S571">
        <v>9.84</v>
      </c>
      <c r="T571">
        <v>9.7200000000000006</v>
      </c>
      <c r="U571">
        <v>9.74</v>
      </c>
      <c r="V571">
        <v>9.75</v>
      </c>
      <c r="W571">
        <v>9.5500000000000007</v>
      </c>
    </row>
    <row r="572" spans="1:23" x14ac:dyDescent="0.35">
      <c r="A572" s="2" t="s">
        <v>506</v>
      </c>
      <c r="B572">
        <v>3.33</v>
      </c>
      <c r="C572">
        <v>3.37</v>
      </c>
      <c r="D572">
        <v>3.52</v>
      </c>
      <c r="E572">
        <v>3.57</v>
      </c>
      <c r="F572">
        <v>3.59</v>
      </c>
      <c r="G572">
        <v>3.59</v>
      </c>
      <c r="H572">
        <v>3.6</v>
      </c>
      <c r="I572">
        <v>3.65</v>
      </c>
      <c r="J572">
        <v>3.69</v>
      </c>
      <c r="K572">
        <v>3.7</v>
      </c>
      <c r="L572">
        <v>3.67</v>
      </c>
      <c r="M572">
        <v>3.67</v>
      </c>
      <c r="N572">
        <v>3.67</v>
      </c>
      <c r="O572">
        <v>3.67</v>
      </c>
      <c r="P572">
        <v>3.72</v>
      </c>
      <c r="Q572">
        <v>3.72</v>
      </c>
      <c r="R572">
        <v>3.76</v>
      </c>
      <c r="S572">
        <v>3.74</v>
      </c>
      <c r="T572">
        <v>3.74</v>
      </c>
      <c r="U572">
        <v>3.74</v>
      </c>
      <c r="V572">
        <v>3.77</v>
      </c>
      <c r="W572">
        <v>3.75</v>
      </c>
    </row>
    <row r="573" spans="1:23" x14ac:dyDescent="0.35">
      <c r="A573" s="2" t="s">
        <v>507</v>
      </c>
      <c r="B573">
        <v>0.95</v>
      </c>
      <c r="C573">
        <v>0.94</v>
      </c>
      <c r="D573">
        <v>0.94</v>
      </c>
      <c r="E573">
        <v>0.98</v>
      </c>
      <c r="F573">
        <v>0.98</v>
      </c>
      <c r="G573">
        <v>0.98</v>
      </c>
      <c r="H573">
        <v>0.97</v>
      </c>
      <c r="I573">
        <v>0.97</v>
      </c>
      <c r="J573">
        <v>0.97</v>
      </c>
      <c r="K573">
        <v>0.96</v>
      </c>
      <c r="L573">
        <v>0.95</v>
      </c>
      <c r="M573">
        <v>0.95</v>
      </c>
      <c r="N573">
        <v>0.95</v>
      </c>
      <c r="O573">
        <v>0.95</v>
      </c>
      <c r="P573">
        <v>0.95</v>
      </c>
      <c r="Q573">
        <v>0.96</v>
      </c>
      <c r="R573">
        <v>0.95</v>
      </c>
      <c r="S573">
        <v>0.94</v>
      </c>
      <c r="T573">
        <v>0.92</v>
      </c>
      <c r="U573">
        <v>0.92</v>
      </c>
      <c r="V573">
        <v>0.92</v>
      </c>
      <c r="W573">
        <v>0.93</v>
      </c>
    </row>
    <row r="574" spans="1:23" x14ac:dyDescent="0.35">
      <c r="A574" s="2" t="s">
        <v>508</v>
      </c>
      <c r="B574">
        <v>6.46</v>
      </c>
      <c r="C574">
        <v>6.55</v>
      </c>
      <c r="D574">
        <v>6.63</v>
      </c>
      <c r="E574">
        <v>6.65</v>
      </c>
      <c r="F574">
        <v>6.67</v>
      </c>
      <c r="G574">
        <v>6.69</v>
      </c>
      <c r="H574">
        <v>6.66</v>
      </c>
      <c r="I574">
        <v>6.24</v>
      </c>
      <c r="J574">
        <v>6.22</v>
      </c>
      <c r="K574">
        <v>6.04</v>
      </c>
      <c r="L574">
        <v>6.02</v>
      </c>
      <c r="M574">
        <v>5.92</v>
      </c>
      <c r="N574">
        <v>5.73</v>
      </c>
      <c r="O574">
        <v>5.68</v>
      </c>
      <c r="P574">
        <v>5.62</v>
      </c>
      <c r="Q574">
        <v>5.53</v>
      </c>
      <c r="R574">
        <v>5.56</v>
      </c>
      <c r="S574">
        <v>5.46</v>
      </c>
      <c r="T574">
        <v>5.37</v>
      </c>
      <c r="U574">
        <v>5.26</v>
      </c>
      <c r="V574">
        <v>5.16</v>
      </c>
      <c r="W574">
        <v>5.1100000000000003</v>
      </c>
    </row>
    <row r="575" spans="1:23" x14ac:dyDescent="0.35">
      <c r="A575" s="2" t="s">
        <v>853</v>
      </c>
      <c r="B575">
        <v>32.14</v>
      </c>
      <c r="C575">
        <v>32.76</v>
      </c>
      <c r="D575">
        <v>33.47</v>
      </c>
      <c r="E575">
        <v>34.15</v>
      </c>
      <c r="F575">
        <v>33.97</v>
      </c>
      <c r="G575">
        <v>34.56</v>
      </c>
      <c r="H575">
        <v>34.06</v>
      </c>
      <c r="I575">
        <v>33.380000000000003</v>
      </c>
      <c r="J575">
        <v>33.03</v>
      </c>
      <c r="K575">
        <v>32.26</v>
      </c>
      <c r="L575">
        <v>31.49</v>
      </c>
      <c r="M575">
        <v>31.14</v>
      </c>
      <c r="N575">
        <v>31.08</v>
      </c>
      <c r="O575">
        <v>31.35</v>
      </c>
      <c r="P575">
        <v>31.26</v>
      </c>
      <c r="Q575">
        <v>31.46</v>
      </c>
      <c r="R575">
        <v>31.2</v>
      </c>
      <c r="S575">
        <v>30.52</v>
      </c>
      <c r="T575">
        <v>30.26</v>
      </c>
      <c r="U575">
        <v>30.52</v>
      </c>
      <c r="V575">
        <v>30.49</v>
      </c>
      <c r="W575">
        <v>30.43</v>
      </c>
    </row>
    <row r="576" spans="1:23" x14ac:dyDescent="0.35">
      <c r="A576" s="2" t="s">
        <v>509</v>
      </c>
      <c r="B576">
        <v>0.8</v>
      </c>
      <c r="C576">
        <v>0.87</v>
      </c>
      <c r="D576">
        <v>0.85</v>
      </c>
      <c r="E576">
        <v>0.85</v>
      </c>
      <c r="F576">
        <v>0.87</v>
      </c>
      <c r="G576">
        <v>0.89</v>
      </c>
      <c r="H576">
        <v>0.88</v>
      </c>
      <c r="I576">
        <v>0.89</v>
      </c>
      <c r="J576">
        <v>0.82</v>
      </c>
      <c r="K576">
        <v>0.8</v>
      </c>
      <c r="L576">
        <v>0.78</v>
      </c>
      <c r="M576">
        <v>0.76</v>
      </c>
      <c r="N576">
        <v>0.76</v>
      </c>
      <c r="O576">
        <v>0.76</v>
      </c>
      <c r="P576">
        <v>0.75</v>
      </c>
      <c r="Q576">
        <v>0.76</v>
      </c>
      <c r="R576">
        <v>0.73</v>
      </c>
      <c r="S576">
        <v>0.73</v>
      </c>
      <c r="T576">
        <v>0.71</v>
      </c>
      <c r="U576">
        <v>0.7</v>
      </c>
      <c r="V576">
        <v>0.69</v>
      </c>
      <c r="W576">
        <v>0.66</v>
      </c>
    </row>
    <row r="577" spans="1:23" x14ac:dyDescent="0.35">
      <c r="A577" s="2" t="s">
        <v>510</v>
      </c>
      <c r="B577">
        <v>31.22</v>
      </c>
      <c r="C577">
        <v>31.18</v>
      </c>
      <c r="D577">
        <v>29.82</v>
      </c>
      <c r="E577">
        <v>30.4</v>
      </c>
      <c r="F577">
        <v>30.15</v>
      </c>
      <c r="G577">
        <v>30.38</v>
      </c>
      <c r="H577">
        <v>31.07</v>
      </c>
      <c r="I577">
        <v>30.73</v>
      </c>
      <c r="J577">
        <v>30.22</v>
      </c>
      <c r="K577">
        <v>30.76</v>
      </c>
      <c r="L577">
        <v>30.82</v>
      </c>
      <c r="M577">
        <v>31.22</v>
      </c>
      <c r="N577">
        <v>31.69</v>
      </c>
      <c r="O577">
        <v>31.49</v>
      </c>
      <c r="P577">
        <v>31.49</v>
      </c>
      <c r="Q577">
        <v>31.31</v>
      </c>
      <c r="R577">
        <v>31.25</v>
      </c>
      <c r="S577">
        <v>31.47</v>
      </c>
      <c r="T577">
        <v>31.42</v>
      </c>
      <c r="U577">
        <v>32</v>
      </c>
      <c r="V577">
        <v>31.92</v>
      </c>
      <c r="W577">
        <v>32.159999999999997</v>
      </c>
    </row>
    <row r="578" spans="1:23" x14ac:dyDescent="0.35">
      <c r="A578" s="2" t="s">
        <v>511</v>
      </c>
      <c r="B578">
        <v>7.22</v>
      </c>
      <c r="C578">
        <v>7.51</v>
      </c>
      <c r="D578">
        <v>7.68</v>
      </c>
      <c r="E578">
        <v>7.99</v>
      </c>
      <c r="F578">
        <v>7.99</v>
      </c>
      <c r="G578">
        <v>7.86</v>
      </c>
      <c r="H578">
        <v>7.99</v>
      </c>
      <c r="I578">
        <v>7.84</v>
      </c>
      <c r="J578">
        <v>7.84</v>
      </c>
      <c r="K578">
        <v>7.95</v>
      </c>
      <c r="L578">
        <v>7.89</v>
      </c>
      <c r="M578">
        <v>7.89</v>
      </c>
      <c r="N578">
        <v>7.75</v>
      </c>
      <c r="O578">
        <v>7.79</v>
      </c>
      <c r="P578">
        <v>7.79</v>
      </c>
      <c r="Q578">
        <v>7.76</v>
      </c>
      <c r="R578">
        <v>7.79</v>
      </c>
      <c r="S578">
        <v>7.86</v>
      </c>
      <c r="T578">
        <v>7.89</v>
      </c>
      <c r="U578">
        <v>7.93</v>
      </c>
      <c r="V578">
        <v>7.99</v>
      </c>
      <c r="W578">
        <v>7.93</v>
      </c>
    </row>
    <row r="579" spans="1:23" x14ac:dyDescent="0.35">
      <c r="A579" s="2" t="s">
        <v>512</v>
      </c>
      <c r="B579">
        <v>3.57</v>
      </c>
      <c r="C579">
        <v>3.6</v>
      </c>
      <c r="D579">
        <v>3.62</v>
      </c>
      <c r="E579">
        <v>3.82</v>
      </c>
      <c r="F579">
        <v>3.76</v>
      </c>
      <c r="G579">
        <v>3.73</v>
      </c>
      <c r="H579">
        <v>3.81</v>
      </c>
      <c r="I579">
        <v>3.87</v>
      </c>
      <c r="J579">
        <v>3.81</v>
      </c>
      <c r="K579">
        <v>3.82</v>
      </c>
      <c r="L579">
        <v>3.69</v>
      </c>
      <c r="M579">
        <v>3.77</v>
      </c>
      <c r="N579">
        <v>3.74</v>
      </c>
      <c r="O579">
        <v>3.82</v>
      </c>
      <c r="P579">
        <v>3.71</v>
      </c>
      <c r="Q579">
        <v>3.8</v>
      </c>
      <c r="R579">
        <v>3.81</v>
      </c>
      <c r="S579">
        <v>3.95</v>
      </c>
      <c r="T579">
        <v>3.54</v>
      </c>
      <c r="U579">
        <v>3.57</v>
      </c>
      <c r="V579">
        <v>3.57</v>
      </c>
      <c r="W579">
        <v>3.67</v>
      </c>
    </row>
    <row r="580" spans="1:23" x14ac:dyDescent="0.35">
      <c r="A580" s="2" t="s">
        <v>513</v>
      </c>
      <c r="B580">
        <v>0.27</v>
      </c>
      <c r="C580">
        <v>0.28000000000000003</v>
      </c>
      <c r="D580">
        <v>0.28999999999999998</v>
      </c>
      <c r="E580">
        <v>0.3</v>
      </c>
      <c r="F580">
        <v>0.31</v>
      </c>
      <c r="G580">
        <v>0.3</v>
      </c>
      <c r="H580">
        <v>0.3</v>
      </c>
      <c r="I580">
        <v>0.28999999999999998</v>
      </c>
      <c r="J580">
        <v>0.28000000000000003</v>
      </c>
      <c r="K580">
        <v>0.26</v>
      </c>
      <c r="L580">
        <v>0.26</v>
      </c>
      <c r="M580">
        <v>0.26</v>
      </c>
      <c r="N580">
        <v>0.24</v>
      </c>
      <c r="O580">
        <v>0.24</v>
      </c>
      <c r="P580">
        <v>0.24</v>
      </c>
      <c r="Q580">
        <v>0.24</v>
      </c>
      <c r="R580">
        <v>0.24</v>
      </c>
      <c r="S580">
        <v>0.25</v>
      </c>
      <c r="T580">
        <v>0.23</v>
      </c>
      <c r="U580">
        <v>0.23</v>
      </c>
      <c r="V580">
        <v>0.24</v>
      </c>
      <c r="W580">
        <v>0.24</v>
      </c>
    </row>
    <row r="581" spans="1:23" x14ac:dyDescent="0.35">
      <c r="A581" s="2" t="s">
        <v>514</v>
      </c>
      <c r="B581">
        <v>1.84</v>
      </c>
      <c r="C581">
        <v>1.84</v>
      </c>
      <c r="D581">
        <v>1.82</v>
      </c>
      <c r="E581">
        <v>1.84</v>
      </c>
      <c r="F581">
        <v>1.87</v>
      </c>
      <c r="G581">
        <v>1.94</v>
      </c>
      <c r="H581">
        <v>1.94</v>
      </c>
      <c r="I581">
        <v>1.95</v>
      </c>
      <c r="J581">
        <v>1.85</v>
      </c>
      <c r="K581">
        <v>1.76</v>
      </c>
      <c r="L581">
        <v>1.76</v>
      </c>
      <c r="M581">
        <v>1.76</v>
      </c>
      <c r="N581">
        <v>1.77</v>
      </c>
      <c r="O581">
        <v>1.78</v>
      </c>
      <c r="P581">
        <v>1.81</v>
      </c>
      <c r="Q581">
        <v>1.87</v>
      </c>
      <c r="R581">
        <v>1.88</v>
      </c>
      <c r="S581">
        <v>1.93</v>
      </c>
      <c r="T581">
        <v>1.92</v>
      </c>
      <c r="U581">
        <v>1.9</v>
      </c>
      <c r="V581">
        <v>1.9</v>
      </c>
      <c r="W581">
        <v>1.89</v>
      </c>
    </row>
    <row r="582" spans="1:23" x14ac:dyDescent="0.35">
      <c r="A582" s="2" t="s">
        <v>515</v>
      </c>
      <c r="B582">
        <v>1.72</v>
      </c>
      <c r="C582">
        <v>1.75</v>
      </c>
      <c r="D582">
        <v>1.75</v>
      </c>
      <c r="E582">
        <v>1.75</v>
      </c>
      <c r="F582">
        <v>1.76</v>
      </c>
      <c r="G582">
        <v>1.81</v>
      </c>
      <c r="H582">
        <v>1.83</v>
      </c>
      <c r="I582">
        <v>1.87</v>
      </c>
      <c r="J582">
        <v>1.87</v>
      </c>
      <c r="K582">
        <v>1.89</v>
      </c>
      <c r="L582">
        <v>1.87</v>
      </c>
      <c r="M582">
        <v>1.9</v>
      </c>
      <c r="N582">
        <v>1.87</v>
      </c>
      <c r="O582">
        <v>1.89</v>
      </c>
      <c r="P582">
        <v>1.88</v>
      </c>
      <c r="Q582">
        <v>1.91</v>
      </c>
      <c r="R582">
        <v>1.85</v>
      </c>
      <c r="S582">
        <v>1.84</v>
      </c>
      <c r="T582">
        <v>1.83</v>
      </c>
      <c r="U582">
        <v>1.82</v>
      </c>
      <c r="V582">
        <v>1.81</v>
      </c>
      <c r="W582">
        <v>1.82</v>
      </c>
    </row>
    <row r="583" spans="1:23" x14ac:dyDescent="0.35">
      <c r="A583" s="2" t="s">
        <v>516</v>
      </c>
      <c r="B583">
        <v>5.05</v>
      </c>
      <c r="C583">
        <v>5.04</v>
      </c>
      <c r="D583">
        <v>5.04</v>
      </c>
      <c r="E583">
        <v>5.04</v>
      </c>
      <c r="F583">
        <v>5.04</v>
      </c>
      <c r="G583">
        <v>5.04</v>
      </c>
      <c r="H583">
        <v>4.96</v>
      </c>
      <c r="I583">
        <v>4.96</v>
      </c>
      <c r="J583">
        <v>5.0199999999999996</v>
      </c>
      <c r="K583">
        <v>4.91</v>
      </c>
      <c r="L583">
        <v>4.91</v>
      </c>
      <c r="M583">
        <v>4.88</v>
      </c>
      <c r="N583">
        <v>4.88</v>
      </c>
      <c r="O583">
        <v>4.88</v>
      </c>
      <c r="P583">
        <v>4.8600000000000003</v>
      </c>
      <c r="Q583">
        <v>4.8600000000000003</v>
      </c>
      <c r="R583">
        <v>4.8600000000000003</v>
      </c>
      <c r="S583">
        <v>4.8600000000000003</v>
      </c>
      <c r="T583">
        <v>4.83</v>
      </c>
      <c r="U583">
        <v>4.83</v>
      </c>
      <c r="V583">
        <v>4.83</v>
      </c>
      <c r="W583">
        <v>4.83</v>
      </c>
    </row>
    <row r="584" spans="1:23" x14ac:dyDescent="0.35">
      <c r="A584" s="2" t="s">
        <v>517</v>
      </c>
      <c r="B584">
        <v>2.3199999999999998</v>
      </c>
      <c r="C584">
        <v>2.36</v>
      </c>
      <c r="D584">
        <v>2.48</v>
      </c>
      <c r="E584">
        <v>2.59</v>
      </c>
      <c r="F584">
        <v>2.56</v>
      </c>
      <c r="G584">
        <v>2.52</v>
      </c>
      <c r="H584">
        <v>2.36</v>
      </c>
      <c r="I584">
        <v>2.19</v>
      </c>
      <c r="J584">
        <v>2.16</v>
      </c>
      <c r="K584">
        <v>2.16</v>
      </c>
      <c r="L584">
        <v>2.1</v>
      </c>
      <c r="M584">
        <v>2.08</v>
      </c>
      <c r="N584">
        <v>2.08</v>
      </c>
      <c r="O584">
        <v>2.1</v>
      </c>
      <c r="P584">
        <v>2.1</v>
      </c>
      <c r="Q584">
        <v>2.13</v>
      </c>
      <c r="R584">
        <v>2.15</v>
      </c>
      <c r="S584">
        <v>2.1</v>
      </c>
      <c r="T584">
        <v>2.0499999999999998</v>
      </c>
      <c r="U584">
        <v>2.0699999999999998</v>
      </c>
      <c r="V584">
        <v>2.08</v>
      </c>
      <c r="W584">
        <v>2.0699999999999998</v>
      </c>
    </row>
    <row r="585" spans="1:23" x14ac:dyDescent="0.35">
      <c r="A585" s="2" t="s">
        <v>518</v>
      </c>
      <c r="B585">
        <v>6.21</v>
      </c>
      <c r="C585">
        <v>6.22</v>
      </c>
      <c r="D585">
        <v>6.4</v>
      </c>
      <c r="E585">
        <v>6.42</v>
      </c>
      <c r="F585">
        <v>6.37</v>
      </c>
      <c r="G585">
        <v>6.41</v>
      </c>
      <c r="H585">
        <v>6.39</v>
      </c>
      <c r="I585">
        <v>6.15</v>
      </c>
      <c r="J585">
        <v>5.98</v>
      </c>
      <c r="K585">
        <v>5.95</v>
      </c>
      <c r="L585">
        <v>5.97</v>
      </c>
      <c r="M585">
        <v>5.86</v>
      </c>
      <c r="N585">
        <v>5.8</v>
      </c>
      <c r="O585">
        <v>5.95</v>
      </c>
      <c r="P585">
        <v>5.97</v>
      </c>
      <c r="Q585">
        <v>6.05</v>
      </c>
      <c r="R585">
        <v>6.05</v>
      </c>
      <c r="S585">
        <v>6.06</v>
      </c>
      <c r="T585">
        <v>6.01</v>
      </c>
      <c r="U585">
        <v>6.04</v>
      </c>
      <c r="V585">
        <v>6.02</v>
      </c>
      <c r="W585">
        <v>5.99</v>
      </c>
    </row>
    <row r="586" spans="1:23" x14ac:dyDescent="0.35">
      <c r="A586" s="2" t="s">
        <v>519</v>
      </c>
      <c r="B586">
        <v>6.96</v>
      </c>
      <c r="C586">
        <v>6.99</v>
      </c>
      <c r="D586">
        <v>7.07</v>
      </c>
      <c r="E586">
        <v>7.12</v>
      </c>
      <c r="F586">
        <v>7.15</v>
      </c>
      <c r="G586">
        <v>7.2</v>
      </c>
      <c r="H586">
        <v>7.18</v>
      </c>
      <c r="I586">
        <v>7.1</v>
      </c>
      <c r="J586">
        <v>7.19</v>
      </c>
      <c r="K586">
        <v>7.08</v>
      </c>
      <c r="L586">
        <v>7.01</v>
      </c>
      <c r="M586">
        <v>6.99</v>
      </c>
      <c r="N586">
        <v>6.97</v>
      </c>
      <c r="O586">
        <v>7</v>
      </c>
      <c r="P586">
        <v>6.99</v>
      </c>
      <c r="Q586">
        <v>7.02</v>
      </c>
      <c r="R586">
        <v>7.04</v>
      </c>
      <c r="S586">
        <v>6.97</v>
      </c>
      <c r="T586">
        <v>6.96</v>
      </c>
      <c r="U586">
        <v>6.93</v>
      </c>
      <c r="V586">
        <v>6.8</v>
      </c>
      <c r="W586">
        <v>6.77</v>
      </c>
    </row>
    <row r="587" spans="1:23" x14ac:dyDescent="0.35">
      <c r="A587" s="2" t="s">
        <v>520</v>
      </c>
      <c r="B587">
        <v>26.87</v>
      </c>
      <c r="C587">
        <v>26.59</v>
      </c>
      <c r="D587">
        <v>27.02</v>
      </c>
      <c r="E587">
        <v>27.65</v>
      </c>
      <c r="F587">
        <v>28.23</v>
      </c>
      <c r="G587">
        <v>28.33</v>
      </c>
      <c r="H587">
        <v>28.74</v>
      </c>
      <c r="I587">
        <v>28.39</v>
      </c>
      <c r="J587">
        <v>28.13</v>
      </c>
      <c r="K587">
        <v>28.64</v>
      </c>
      <c r="L587">
        <v>28.44</v>
      </c>
      <c r="M587">
        <v>28.31</v>
      </c>
      <c r="N587">
        <v>27.53</v>
      </c>
      <c r="O587">
        <v>27.49</v>
      </c>
      <c r="P587">
        <v>27.45</v>
      </c>
      <c r="Q587">
        <v>27.92</v>
      </c>
      <c r="R587">
        <v>27.76</v>
      </c>
      <c r="S587">
        <v>27.7</v>
      </c>
      <c r="T587">
        <v>27.53</v>
      </c>
      <c r="U587">
        <v>27.88</v>
      </c>
      <c r="V587">
        <v>27.7</v>
      </c>
      <c r="W587">
        <v>27.76</v>
      </c>
    </row>
    <row r="588" spans="1:23" x14ac:dyDescent="0.35">
      <c r="A588" s="2" t="s">
        <v>521</v>
      </c>
      <c r="B588">
        <v>5.62</v>
      </c>
      <c r="C588">
        <v>5.64</v>
      </c>
      <c r="D588">
        <v>5.65</v>
      </c>
      <c r="E588">
        <v>5.66</v>
      </c>
      <c r="F588">
        <v>5.68</v>
      </c>
      <c r="G588">
        <v>5.65</v>
      </c>
      <c r="H588">
        <v>5.65</v>
      </c>
      <c r="I588">
        <v>5.65</v>
      </c>
      <c r="J588">
        <v>5.67</v>
      </c>
      <c r="K588">
        <v>5.66</v>
      </c>
      <c r="L588">
        <v>5.58</v>
      </c>
      <c r="M588">
        <v>5.6</v>
      </c>
      <c r="N588">
        <v>5.6</v>
      </c>
      <c r="O588">
        <v>5.62</v>
      </c>
      <c r="P588">
        <v>5.6</v>
      </c>
      <c r="Q588">
        <v>5.61</v>
      </c>
      <c r="R588">
        <v>5.61</v>
      </c>
      <c r="S588">
        <v>5.61</v>
      </c>
      <c r="T588">
        <v>5.61</v>
      </c>
      <c r="U588">
        <v>5.61</v>
      </c>
      <c r="V588">
        <v>5.61</v>
      </c>
      <c r="W588">
        <v>5.63</v>
      </c>
    </row>
    <row r="589" spans="1:23" x14ac:dyDescent="0.35">
      <c r="A589" s="2" t="s">
        <v>522</v>
      </c>
      <c r="B589">
        <v>3.55</v>
      </c>
      <c r="C589">
        <v>3.57</v>
      </c>
      <c r="D589">
        <v>3.74</v>
      </c>
      <c r="E589">
        <v>3.9</v>
      </c>
      <c r="F589">
        <v>3.92</v>
      </c>
      <c r="G589">
        <v>4.01</v>
      </c>
      <c r="H589">
        <v>4.08</v>
      </c>
      <c r="I589">
        <v>4.01</v>
      </c>
      <c r="J589">
        <v>4.03</v>
      </c>
      <c r="K589">
        <v>4.17</v>
      </c>
      <c r="L589">
        <v>4.1100000000000003</v>
      </c>
      <c r="M589">
        <v>4.1399999999999997</v>
      </c>
      <c r="N589">
        <v>4.09</v>
      </c>
      <c r="O589">
        <v>4.12</v>
      </c>
      <c r="P589">
        <v>4.07</v>
      </c>
      <c r="Q589">
        <v>4.0199999999999996</v>
      </c>
      <c r="R589">
        <v>3.92</v>
      </c>
      <c r="S589">
        <v>3.89</v>
      </c>
      <c r="T589">
        <v>3.78</v>
      </c>
      <c r="U589">
        <v>3.75</v>
      </c>
      <c r="V589">
        <v>3.72</v>
      </c>
      <c r="W589">
        <v>3.72</v>
      </c>
    </row>
    <row r="590" spans="1:23" x14ac:dyDescent="0.35">
      <c r="A590" s="2" t="s">
        <v>523</v>
      </c>
      <c r="B590">
        <v>4.0999999999999996</v>
      </c>
      <c r="C590">
        <v>4.0599999999999996</v>
      </c>
      <c r="D590">
        <v>4.0999999999999996</v>
      </c>
      <c r="E590">
        <v>4.1100000000000003</v>
      </c>
      <c r="F590">
        <v>4.12</v>
      </c>
      <c r="G590">
        <v>4.1100000000000003</v>
      </c>
      <c r="H590">
        <v>4.1100000000000003</v>
      </c>
      <c r="I590">
        <v>4.12</v>
      </c>
      <c r="J590">
        <v>4.12</v>
      </c>
      <c r="K590">
        <v>4.12</v>
      </c>
      <c r="L590">
        <v>4.13</v>
      </c>
      <c r="M590">
        <v>4.12</v>
      </c>
      <c r="N590">
        <v>4.1500000000000004</v>
      </c>
      <c r="O590">
        <v>4.17</v>
      </c>
      <c r="P590">
        <v>4.1900000000000004</v>
      </c>
      <c r="Q590">
        <v>4.1900000000000004</v>
      </c>
      <c r="R590">
        <v>4.1900000000000004</v>
      </c>
      <c r="S590">
        <v>4.21</v>
      </c>
      <c r="T590">
        <v>4.22</v>
      </c>
      <c r="U590">
        <v>4.21</v>
      </c>
      <c r="V590">
        <v>4.2300000000000004</v>
      </c>
      <c r="W590">
        <v>4.24</v>
      </c>
    </row>
    <row r="591" spans="1:23" x14ac:dyDescent="0.35">
      <c r="A591" s="2" t="s">
        <v>854</v>
      </c>
      <c r="B591">
        <v>25.49</v>
      </c>
      <c r="C591">
        <v>25.66</v>
      </c>
      <c r="D591">
        <v>25.47</v>
      </c>
      <c r="E591">
        <v>25.45</v>
      </c>
      <c r="F591">
        <v>25.32</v>
      </c>
      <c r="G591">
        <v>25.47</v>
      </c>
      <c r="H591">
        <v>25.45</v>
      </c>
      <c r="I591">
        <v>25.68</v>
      </c>
      <c r="J591">
        <v>25.66</v>
      </c>
      <c r="K591">
        <v>25.49</v>
      </c>
      <c r="L591">
        <v>25.51</v>
      </c>
      <c r="M591">
        <v>25.45</v>
      </c>
      <c r="N591">
        <v>25.4</v>
      </c>
      <c r="O591">
        <v>25.43</v>
      </c>
      <c r="P591">
        <v>25.4</v>
      </c>
      <c r="Q591">
        <v>25.49</v>
      </c>
      <c r="R591">
        <v>25.72</v>
      </c>
      <c r="S591">
        <v>25.47</v>
      </c>
      <c r="T591">
        <v>25.49</v>
      </c>
      <c r="U591">
        <v>26.35</v>
      </c>
      <c r="V591">
        <v>25.6</v>
      </c>
      <c r="W591">
        <v>25.68</v>
      </c>
    </row>
    <row r="592" spans="1:23" x14ac:dyDescent="0.35">
      <c r="A592" s="2" t="s">
        <v>524</v>
      </c>
      <c r="B592">
        <v>3.47</v>
      </c>
      <c r="C592">
        <v>3.48</v>
      </c>
      <c r="D592">
        <v>3.36</v>
      </c>
      <c r="E592">
        <v>3.35</v>
      </c>
      <c r="F592">
        <v>3.38</v>
      </c>
      <c r="G592">
        <v>3.35</v>
      </c>
      <c r="H592">
        <v>3.38</v>
      </c>
      <c r="I592">
        <v>3.38</v>
      </c>
      <c r="J592">
        <v>3.32</v>
      </c>
      <c r="K592">
        <v>3.28</v>
      </c>
      <c r="L592">
        <v>3.28</v>
      </c>
      <c r="M592">
        <v>3.27</v>
      </c>
      <c r="N592">
        <v>3.25</v>
      </c>
      <c r="O592">
        <v>3.29</v>
      </c>
      <c r="P592">
        <v>3.33</v>
      </c>
      <c r="Q592">
        <v>3.22</v>
      </c>
      <c r="R592">
        <v>3.22</v>
      </c>
      <c r="S592">
        <v>3.23</v>
      </c>
      <c r="T592">
        <v>3.21</v>
      </c>
      <c r="U592">
        <v>3.23</v>
      </c>
      <c r="V592">
        <v>3.17</v>
      </c>
      <c r="W592">
        <v>3.17</v>
      </c>
    </row>
    <row r="593" spans="1:23" x14ac:dyDescent="0.35">
      <c r="A593" s="2" t="s">
        <v>855</v>
      </c>
      <c r="B593">
        <v>24.76</v>
      </c>
      <c r="C593">
        <v>24.72</v>
      </c>
      <c r="D593">
        <v>24.82</v>
      </c>
      <c r="E593">
        <v>24.74</v>
      </c>
      <c r="F593">
        <v>24.99</v>
      </c>
      <c r="G593">
        <v>24.95</v>
      </c>
      <c r="H593">
        <v>25.1</v>
      </c>
      <c r="I593">
        <v>25.29</v>
      </c>
      <c r="J593">
        <v>24.91</v>
      </c>
      <c r="K593">
        <v>25.01</v>
      </c>
      <c r="L593">
        <v>25.23</v>
      </c>
      <c r="M593">
        <v>25.23</v>
      </c>
      <c r="N593">
        <v>25.27</v>
      </c>
      <c r="O593">
        <v>25.38</v>
      </c>
      <c r="P593">
        <v>25.42</v>
      </c>
      <c r="Q593">
        <v>25.59</v>
      </c>
      <c r="R593">
        <v>25.74</v>
      </c>
      <c r="S593">
        <v>25.82</v>
      </c>
      <c r="T593">
        <v>25.84</v>
      </c>
      <c r="U593">
        <v>25.93</v>
      </c>
      <c r="V593">
        <v>25.99</v>
      </c>
      <c r="W593">
        <v>26.04</v>
      </c>
    </row>
    <row r="594" spans="1:23" x14ac:dyDescent="0.35">
      <c r="A594" s="2" t="s">
        <v>525</v>
      </c>
      <c r="B594">
        <v>3.61</v>
      </c>
      <c r="C594">
        <v>3.61</v>
      </c>
      <c r="D594">
        <v>3.61</v>
      </c>
      <c r="E594">
        <v>3.63</v>
      </c>
      <c r="F594">
        <v>3.63</v>
      </c>
      <c r="G594">
        <v>3.63</v>
      </c>
      <c r="H594">
        <v>3.71</v>
      </c>
      <c r="I594">
        <v>3.87</v>
      </c>
      <c r="J594">
        <v>3.87</v>
      </c>
      <c r="K594">
        <v>3.86</v>
      </c>
      <c r="L594">
        <v>3.87</v>
      </c>
      <c r="M594">
        <v>3.88</v>
      </c>
      <c r="N594">
        <v>3.92</v>
      </c>
      <c r="O594">
        <v>3.94</v>
      </c>
      <c r="P594">
        <v>3.98</v>
      </c>
      <c r="Q594">
        <v>3.99</v>
      </c>
      <c r="R594">
        <v>4.05</v>
      </c>
      <c r="S594">
        <v>4.09</v>
      </c>
      <c r="T594">
        <v>4.13</v>
      </c>
      <c r="U594">
        <v>4.22</v>
      </c>
      <c r="V594">
        <v>4.2699999999999996</v>
      </c>
      <c r="W594">
        <v>4.3</v>
      </c>
    </row>
    <row r="595" spans="1:23" x14ac:dyDescent="0.35">
      <c r="A595" s="2" t="s">
        <v>526</v>
      </c>
      <c r="B595">
        <v>19.07</v>
      </c>
      <c r="C595">
        <v>18.87</v>
      </c>
      <c r="D595">
        <v>19.190000000000001</v>
      </c>
      <c r="E595">
        <v>19.23</v>
      </c>
      <c r="F595">
        <v>19.350000000000001</v>
      </c>
      <c r="G595">
        <v>19.37</v>
      </c>
      <c r="H595">
        <v>19.54</v>
      </c>
      <c r="I595">
        <v>19.61</v>
      </c>
      <c r="J595">
        <v>19.75</v>
      </c>
      <c r="K595">
        <v>19.52</v>
      </c>
      <c r="L595">
        <v>19.73</v>
      </c>
      <c r="M595">
        <v>19.79</v>
      </c>
      <c r="N595">
        <v>19.82</v>
      </c>
      <c r="O595">
        <v>19.91</v>
      </c>
      <c r="P595">
        <v>20.04</v>
      </c>
      <c r="Q595">
        <v>20.13</v>
      </c>
      <c r="R595">
        <v>19.93</v>
      </c>
      <c r="S595">
        <v>19.98</v>
      </c>
      <c r="T595">
        <v>20.34</v>
      </c>
      <c r="U595">
        <v>20.66</v>
      </c>
      <c r="V595">
        <v>20.7</v>
      </c>
      <c r="W595">
        <v>20.69</v>
      </c>
    </row>
    <row r="596" spans="1:23" x14ac:dyDescent="0.35">
      <c r="A596" s="2" t="s">
        <v>527</v>
      </c>
      <c r="B596">
        <v>8.43</v>
      </c>
      <c r="C596">
        <v>8.4</v>
      </c>
      <c r="D596">
        <v>8.34</v>
      </c>
      <c r="E596">
        <v>8.5</v>
      </c>
      <c r="F596">
        <v>8.58</v>
      </c>
      <c r="G596">
        <v>8.64</v>
      </c>
      <c r="H596">
        <v>8.94</v>
      </c>
      <c r="I596">
        <v>8.85</v>
      </c>
      <c r="J596">
        <v>8.9499999999999993</v>
      </c>
      <c r="K596">
        <v>8.9700000000000006</v>
      </c>
      <c r="L596">
        <v>8.9700000000000006</v>
      </c>
      <c r="M596">
        <v>8.92</v>
      </c>
      <c r="N596">
        <v>8.76</v>
      </c>
      <c r="O596">
        <v>8.59</v>
      </c>
      <c r="P596">
        <v>8.6999999999999993</v>
      </c>
      <c r="Q596">
        <v>8.68</v>
      </c>
      <c r="R596">
        <v>8.75</v>
      </c>
      <c r="S596">
        <v>8.7899999999999991</v>
      </c>
      <c r="T596">
        <v>9.07</v>
      </c>
      <c r="U596">
        <v>8.91</v>
      </c>
      <c r="V596">
        <v>9.01</v>
      </c>
      <c r="W596">
        <v>8.9</v>
      </c>
    </row>
    <row r="597" spans="1:23" x14ac:dyDescent="0.35">
      <c r="A597" s="2" t="s">
        <v>528</v>
      </c>
      <c r="B597">
        <v>3.24</v>
      </c>
      <c r="C597">
        <v>3.18</v>
      </c>
      <c r="D597">
        <v>3.19</v>
      </c>
      <c r="E597">
        <v>3.43</v>
      </c>
      <c r="F597">
        <v>3.52</v>
      </c>
      <c r="G597">
        <v>3.21</v>
      </c>
      <c r="H597">
        <v>3.21</v>
      </c>
      <c r="I597">
        <v>3.29</v>
      </c>
      <c r="J597">
        <v>3.31</v>
      </c>
      <c r="K597">
        <v>3.24</v>
      </c>
      <c r="L597">
        <v>3.16</v>
      </c>
      <c r="M597">
        <v>3.09</v>
      </c>
      <c r="N597">
        <v>3.03</v>
      </c>
      <c r="O597">
        <v>2.94</v>
      </c>
      <c r="P597">
        <v>2.89</v>
      </c>
      <c r="Q597">
        <v>2.92</v>
      </c>
      <c r="R597">
        <v>2.91</v>
      </c>
      <c r="S597">
        <v>2.92</v>
      </c>
      <c r="T597">
        <v>2.85</v>
      </c>
      <c r="U597">
        <v>2.87</v>
      </c>
      <c r="V597">
        <v>2.8</v>
      </c>
      <c r="W597">
        <v>2.77</v>
      </c>
    </row>
    <row r="598" spans="1:23" x14ac:dyDescent="0.35">
      <c r="A598" s="2" t="s">
        <v>529</v>
      </c>
      <c r="B598">
        <v>90.46</v>
      </c>
      <c r="C598">
        <v>93.92</v>
      </c>
      <c r="D598">
        <v>104.29</v>
      </c>
      <c r="E598">
        <v>108.17</v>
      </c>
      <c r="F598">
        <v>105.99</v>
      </c>
      <c r="G598">
        <v>104.41</v>
      </c>
      <c r="H598">
        <v>102.53</v>
      </c>
      <c r="I598">
        <v>103.5</v>
      </c>
      <c r="J598">
        <v>102.29</v>
      </c>
      <c r="K598">
        <v>99.56</v>
      </c>
      <c r="L598">
        <v>95.56</v>
      </c>
      <c r="M598">
        <v>95.56</v>
      </c>
      <c r="N598">
        <v>96.34</v>
      </c>
      <c r="O598">
        <v>97.5</v>
      </c>
      <c r="P598">
        <v>95.8</v>
      </c>
      <c r="Q598">
        <v>95.5</v>
      </c>
      <c r="R598">
        <v>95.56</v>
      </c>
      <c r="S598">
        <v>94.77</v>
      </c>
      <c r="T598">
        <v>94.28</v>
      </c>
      <c r="U598">
        <v>93.92</v>
      </c>
      <c r="V598">
        <v>94.59</v>
      </c>
      <c r="W598">
        <v>93.13</v>
      </c>
    </row>
    <row r="599" spans="1:23" x14ac:dyDescent="0.35">
      <c r="A599" s="2" t="s">
        <v>530</v>
      </c>
      <c r="B599">
        <v>76.52</v>
      </c>
      <c r="C599">
        <v>79.09</v>
      </c>
      <c r="D599">
        <v>85.4</v>
      </c>
      <c r="E599">
        <v>87.07</v>
      </c>
      <c r="F599">
        <v>85.4</v>
      </c>
      <c r="G599">
        <v>80.81</v>
      </c>
      <c r="H599">
        <v>82.18</v>
      </c>
      <c r="I599">
        <v>80.69</v>
      </c>
      <c r="J599">
        <v>79.8</v>
      </c>
      <c r="K599">
        <v>79.739999999999995</v>
      </c>
      <c r="L599">
        <v>76.459999999999994</v>
      </c>
      <c r="M599">
        <v>75.989999999999995</v>
      </c>
      <c r="N599">
        <v>79.150000000000006</v>
      </c>
      <c r="O599">
        <v>78.73</v>
      </c>
      <c r="P599">
        <v>79.09</v>
      </c>
      <c r="Q599">
        <v>77.66</v>
      </c>
      <c r="R599">
        <v>75.930000000000007</v>
      </c>
      <c r="S599">
        <v>75.27</v>
      </c>
      <c r="T599">
        <v>73.48</v>
      </c>
      <c r="U599">
        <v>73.78</v>
      </c>
      <c r="V599">
        <v>75.87</v>
      </c>
      <c r="W599">
        <v>74.2</v>
      </c>
    </row>
    <row r="600" spans="1:23" x14ac:dyDescent="0.35">
      <c r="A600" s="2" t="s">
        <v>531</v>
      </c>
      <c r="B600">
        <v>5.62</v>
      </c>
      <c r="C600">
        <v>6.03</v>
      </c>
      <c r="D600">
        <v>6.59</v>
      </c>
      <c r="E600">
        <v>6.9</v>
      </c>
      <c r="F600">
        <v>6.66</v>
      </c>
      <c r="G600">
        <v>6.06</v>
      </c>
      <c r="H600">
        <v>6.16</v>
      </c>
      <c r="I600">
        <v>6.13</v>
      </c>
      <c r="J600">
        <v>6.01</v>
      </c>
      <c r="K600">
        <v>6.01</v>
      </c>
      <c r="L600">
        <v>5.91</v>
      </c>
      <c r="M600">
        <v>5.74</v>
      </c>
      <c r="N600">
        <v>5.78</v>
      </c>
      <c r="O600">
        <v>5.9</v>
      </c>
      <c r="P600">
        <v>5.88</v>
      </c>
      <c r="Q600">
        <v>5.8</v>
      </c>
      <c r="R600">
        <v>5.69</v>
      </c>
      <c r="S600">
        <v>5.62</v>
      </c>
      <c r="T600">
        <v>5.52</v>
      </c>
      <c r="U600">
        <v>5.51</v>
      </c>
      <c r="V600">
        <v>5.65</v>
      </c>
      <c r="W600">
        <v>5.56</v>
      </c>
    </row>
    <row r="601" spans="1:23" x14ac:dyDescent="0.35">
      <c r="A601" s="2" t="s">
        <v>532</v>
      </c>
      <c r="B601">
        <v>13.8</v>
      </c>
      <c r="C601">
        <v>13.87</v>
      </c>
      <c r="D601">
        <v>14.59</v>
      </c>
      <c r="E601">
        <v>15.4</v>
      </c>
      <c r="F601">
        <v>15.09</v>
      </c>
      <c r="G601">
        <v>14.28</v>
      </c>
      <c r="H601">
        <v>13.44</v>
      </c>
      <c r="I601">
        <v>13.32</v>
      </c>
      <c r="J601">
        <v>13.11</v>
      </c>
      <c r="K601">
        <v>13.14</v>
      </c>
      <c r="L601">
        <v>12.99</v>
      </c>
      <c r="M601">
        <v>12.72</v>
      </c>
      <c r="N601">
        <v>12.63</v>
      </c>
      <c r="O601">
        <v>12.96</v>
      </c>
      <c r="P601">
        <v>13.14</v>
      </c>
      <c r="Q601">
        <v>12.93</v>
      </c>
      <c r="R601">
        <v>12.78</v>
      </c>
      <c r="S601">
        <v>12.49</v>
      </c>
      <c r="T601">
        <v>12.41</v>
      </c>
      <c r="U601">
        <v>12.3</v>
      </c>
      <c r="V601">
        <v>12.48</v>
      </c>
      <c r="W601">
        <v>12.69</v>
      </c>
    </row>
    <row r="602" spans="1:23" x14ac:dyDescent="0.35">
      <c r="A602" s="2" t="s">
        <v>533</v>
      </c>
      <c r="B602">
        <v>2.69</v>
      </c>
      <c r="C602">
        <v>2.69</v>
      </c>
      <c r="D602">
        <v>2.75</v>
      </c>
      <c r="E602">
        <v>2.67</v>
      </c>
      <c r="F602">
        <v>2.68</v>
      </c>
      <c r="G602">
        <v>2.66</v>
      </c>
      <c r="H602">
        <v>2.59</v>
      </c>
      <c r="I602">
        <v>2.58</v>
      </c>
      <c r="J602">
        <v>2.58</v>
      </c>
      <c r="K602">
        <v>2.5499999999999998</v>
      </c>
      <c r="L602">
        <v>2.56</v>
      </c>
      <c r="M602">
        <v>2.6</v>
      </c>
      <c r="N602">
        <v>2.65</v>
      </c>
      <c r="O602">
        <v>2.64</v>
      </c>
      <c r="P602">
        <v>2.63</v>
      </c>
      <c r="Q602">
        <v>2.63</v>
      </c>
      <c r="R602">
        <v>2.63</v>
      </c>
      <c r="S602">
        <v>2.61</v>
      </c>
      <c r="T602">
        <v>2.63</v>
      </c>
      <c r="U602">
        <v>2.6</v>
      </c>
      <c r="V602">
        <v>2.68</v>
      </c>
      <c r="W602">
        <v>2.65</v>
      </c>
    </row>
    <row r="603" spans="1:23" x14ac:dyDescent="0.35">
      <c r="A603" s="2" t="s">
        <v>534</v>
      </c>
      <c r="B603">
        <v>10.38</v>
      </c>
      <c r="C603">
        <v>10.36</v>
      </c>
      <c r="D603">
        <v>11.03</v>
      </c>
      <c r="E603">
        <v>11.3</v>
      </c>
      <c r="F603">
        <v>11.17</v>
      </c>
      <c r="G603">
        <v>11.14</v>
      </c>
      <c r="H603">
        <v>11.13</v>
      </c>
      <c r="I603">
        <v>10.86</v>
      </c>
      <c r="J603">
        <v>10.78</v>
      </c>
      <c r="K603">
        <v>10.89</v>
      </c>
      <c r="L603">
        <v>10.82</v>
      </c>
      <c r="M603">
        <v>10.81</v>
      </c>
      <c r="N603">
        <v>11.23</v>
      </c>
      <c r="O603">
        <v>10.99</v>
      </c>
      <c r="P603">
        <v>11.06</v>
      </c>
      <c r="Q603">
        <v>10.97</v>
      </c>
      <c r="R603">
        <v>10.98</v>
      </c>
      <c r="S603">
        <v>10.81</v>
      </c>
      <c r="T603">
        <v>10.64</v>
      </c>
      <c r="U603">
        <v>10.53</v>
      </c>
      <c r="V603">
        <v>10.65</v>
      </c>
      <c r="W603">
        <v>10.72</v>
      </c>
    </row>
    <row r="604" spans="1:23" x14ac:dyDescent="0.35">
      <c r="A604" s="2" t="s">
        <v>535</v>
      </c>
      <c r="B604">
        <v>44.84</v>
      </c>
      <c r="C604">
        <v>45.03</v>
      </c>
      <c r="D604">
        <v>44.81</v>
      </c>
      <c r="E604">
        <v>45.33</v>
      </c>
      <c r="F604">
        <v>46.74</v>
      </c>
      <c r="G604">
        <v>46.14</v>
      </c>
      <c r="H604">
        <v>45.76</v>
      </c>
      <c r="I604">
        <v>46.96</v>
      </c>
      <c r="J604">
        <v>46.55</v>
      </c>
      <c r="K604">
        <v>47.09</v>
      </c>
      <c r="L604">
        <v>46.88</v>
      </c>
      <c r="M604">
        <v>47.72</v>
      </c>
      <c r="N604">
        <v>47.2</v>
      </c>
      <c r="O604">
        <v>47.72</v>
      </c>
      <c r="P604">
        <v>47.67</v>
      </c>
      <c r="Q604">
        <v>46.96</v>
      </c>
      <c r="R604">
        <v>47.12</v>
      </c>
      <c r="S604">
        <v>46.77</v>
      </c>
      <c r="T604">
        <v>46.99</v>
      </c>
      <c r="U604">
        <v>47.39</v>
      </c>
      <c r="V604">
        <v>47.26</v>
      </c>
      <c r="W604">
        <v>47.2</v>
      </c>
    </row>
    <row r="605" spans="1:23" x14ac:dyDescent="0.35">
      <c r="A605" s="2" t="s">
        <v>856</v>
      </c>
      <c r="B605">
        <v>121.36</v>
      </c>
      <c r="C605">
        <v>122.04</v>
      </c>
      <c r="D605">
        <v>123.89</v>
      </c>
      <c r="E605">
        <v>127.69</v>
      </c>
      <c r="F605">
        <v>130.22</v>
      </c>
      <c r="G605">
        <v>131.1</v>
      </c>
      <c r="H605">
        <v>128.94999999999999</v>
      </c>
      <c r="I605">
        <v>131.1</v>
      </c>
      <c r="J605">
        <v>130.61000000000001</v>
      </c>
      <c r="K605">
        <v>127.88</v>
      </c>
      <c r="L605">
        <v>128.66</v>
      </c>
      <c r="M605">
        <v>128.94999999999999</v>
      </c>
      <c r="N605">
        <v>128.37</v>
      </c>
      <c r="O605">
        <v>128.08000000000001</v>
      </c>
      <c r="P605">
        <v>129.63999999999999</v>
      </c>
      <c r="Q605">
        <v>129.25</v>
      </c>
      <c r="R605">
        <v>129.54</v>
      </c>
      <c r="S605">
        <v>128.76</v>
      </c>
      <c r="T605">
        <v>126.81</v>
      </c>
      <c r="U605">
        <v>129.83000000000001</v>
      </c>
      <c r="V605">
        <v>131</v>
      </c>
      <c r="W605">
        <v>128.86000000000001</v>
      </c>
    </row>
    <row r="606" spans="1:23" x14ac:dyDescent="0.35">
      <c r="A606" s="2" t="s">
        <v>536</v>
      </c>
      <c r="B606">
        <v>10.46</v>
      </c>
      <c r="C606">
        <v>10.61</v>
      </c>
      <c r="D606">
        <v>11.01</v>
      </c>
      <c r="E606">
        <v>11.09</v>
      </c>
      <c r="F606">
        <v>11.46</v>
      </c>
      <c r="G606">
        <v>11.24</v>
      </c>
      <c r="H606">
        <v>11.37</v>
      </c>
      <c r="I606">
        <v>11.13</v>
      </c>
      <c r="J606">
        <v>11.44</v>
      </c>
      <c r="K606">
        <v>11.93</v>
      </c>
      <c r="L606">
        <v>11.9</v>
      </c>
      <c r="M606">
        <v>11.66</v>
      </c>
      <c r="N606">
        <v>12.01</v>
      </c>
      <c r="O606">
        <v>11.82</v>
      </c>
      <c r="P606">
        <v>11.66</v>
      </c>
      <c r="Q606">
        <v>12.19</v>
      </c>
      <c r="R606">
        <v>12.59</v>
      </c>
      <c r="S606">
        <v>12.76</v>
      </c>
      <c r="T606">
        <v>12.26</v>
      </c>
      <c r="U606">
        <v>12.24</v>
      </c>
      <c r="V606">
        <v>12.31</v>
      </c>
      <c r="W606">
        <v>12.2</v>
      </c>
    </row>
    <row r="607" spans="1:23" x14ac:dyDescent="0.35">
      <c r="A607" s="2" t="s">
        <v>537</v>
      </c>
      <c r="B607">
        <v>24</v>
      </c>
      <c r="C607">
        <v>24.35</v>
      </c>
      <c r="D607">
        <v>23.68</v>
      </c>
      <c r="E607">
        <v>24.36</v>
      </c>
      <c r="F607">
        <v>25.78</v>
      </c>
      <c r="G607">
        <v>26.69</v>
      </c>
      <c r="H607">
        <v>27.26</v>
      </c>
      <c r="I607">
        <v>27.71</v>
      </c>
      <c r="J607">
        <v>27.37</v>
      </c>
      <c r="K607">
        <v>27.05</v>
      </c>
      <c r="L607">
        <v>26.35</v>
      </c>
      <c r="M607">
        <v>26.73</v>
      </c>
      <c r="N607">
        <v>27.35</v>
      </c>
      <c r="O607">
        <v>27.84</v>
      </c>
      <c r="P607">
        <v>27.3</v>
      </c>
      <c r="Q607">
        <v>28.34</v>
      </c>
      <c r="R607">
        <v>28.97</v>
      </c>
      <c r="S607">
        <v>28.48</v>
      </c>
      <c r="T607">
        <v>29.29</v>
      </c>
      <c r="U607">
        <v>29.34</v>
      </c>
      <c r="V607">
        <v>29.56</v>
      </c>
      <c r="W607">
        <v>29.72</v>
      </c>
    </row>
    <row r="608" spans="1:23" x14ac:dyDescent="0.35">
      <c r="A608" s="2" t="s">
        <v>857</v>
      </c>
      <c r="B608">
        <v>22.57</v>
      </c>
      <c r="C608">
        <v>22.55</v>
      </c>
      <c r="D608">
        <v>22.37</v>
      </c>
      <c r="E608">
        <v>23.13</v>
      </c>
      <c r="F608">
        <v>23.13</v>
      </c>
      <c r="G608">
        <v>23.19</v>
      </c>
      <c r="H608">
        <v>23.15</v>
      </c>
      <c r="I608">
        <v>23.21</v>
      </c>
      <c r="J608">
        <v>23.21</v>
      </c>
      <c r="K608">
        <v>23.33</v>
      </c>
      <c r="L608">
        <v>23.36</v>
      </c>
      <c r="M608">
        <v>23.36</v>
      </c>
      <c r="N608">
        <v>22.84</v>
      </c>
      <c r="O608">
        <v>22.8</v>
      </c>
      <c r="P608">
        <v>22.8</v>
      </c>
      <c r="Q608">
        <v>22.82</v>
      </c>
      <c r="R608">
        <v>22.43</v>
      </c>
      <c r="S608">
        <v>22.43</v>
      </c>
      <c r="T608">
        <v>22.41</v>
      </c>
      <c r="U608">
        <v>22.37</v>
      </c>
      <c r="V608">
        <v>22.35</v>
      </c>
      <c r="W608">
        <v>22.39</v>
      </c>
    </row>
    <row r="609" spans="1:23" x14ac:dyDescent="0.35">
      <c r="A609" s="2" t="s">
        <v>538</v>
      </c>
      <c r="B609">
        <v>2.84</v>
      </c>
      <c r="C609">
        <v>2.88</v>
      </c>
      <c r="D609">
        <v>2.89</v>
      </c>
      <c r="E609">
        <v>2.91</v>
      </c>
      <c r="F609">
        <v>2.93</v>
      </c>
      <c r="G609">
        <v>2.88</v>
      </c>
      <c r="H609">
        <v>2.89</v>
      </c>
      <c r="I609">
        <v>2.9</v>
      </c>
      <c r="J609">
        <v>2.87</v>
      </c>
      <c r="K609">
        <v>2.81</v>
      </c>
      <c r="L609">
        <v>2.87</v>
      </c>
      <c r="M609">
        <v>2.83</v>
      </c>
      <c r="N609">
        <v>2.85</v>
      </c>
      <c r="O609">
        <v>2.84</v>
      </c>
      <c r="P609">
        <v>2.86</v>
      </c>
      <c r="Q609">
        <v>2.89</v>
      </c>
      <c r="R609">
        <v>2.81</v>
      </c>
      <c r="S609">
        <v>2.82</v>
      </c>
      <c r="T609">
        <v>2.8</v>
      </c>
      <c r="U609">
        <v>2.82</v>
      </c>
      <c r="V609">
        <v>2.83</v>
      </c>
      <c r="W609">
        <v>2.84</v>
      </c>
    </row>
    <row r="610" spans="1:23" x14ac:dyDescent="0.35">
      <c r="A610" s="2" t="s">
        <v>539</v>
      </c>
      <c r="B610">
        <v>1.36</v>
      </c>
      <c r="C610">
        <v>1.38</v>
      </c>
      <c r="D610">
        <v>1.38</v>
      </c>
      <c r="E610">
        <v>1.38</v>
      </c>
      <c r="F610">
        <v>1.38</v>
      </c>
      <c r="G610">
        <v>1.39</v>
      </c>
      <c r="H610">
        <v>1.38</v>
      </c>
      <c r="I610">
        <v>1.37</v>
      </c>
      <c r="J610">
        <v>1.33</v>
      </c>
      <c r="K610">
        <v>1.37</v>
      </c>
      <c r="L610">
        <v>1.35</v>
      </c>
      <c r="M610">
        <v>1.36</v>
      </c>
      <c r="N610">
        <v>1.38</v>
      </c>
      <c r="O610">
        <v>1.39</v>
      </c>
      <c r="P610">
        <v>1.36</v>
      </c>
      <c r="Q610">
        <v>1.35</v>
      </c>
      <c r="R610">
        <v>1.35</v>
      </c>
      <c r="S610">
        <v>1.34</v>
      </c>
      <c r="T610">
        <v>1.35</v>
      </c>
      <c r="U610">
        <v>1.35</v>
      </c>
      <c r="V610">
        <v>1.35</v>
      </c>
      <c r="W610">
        <v>1.35</v>
      </c>
    </row>
    <row r="611" spans="1:23" x14ac:dyDescent="0.35">
      <c r="A611" s="2" t="s">
        <v>540</v>
      </c>
      <c r="B611">
        <v>3.68</v>
      </c>
      <c r="C611">
        <v>3.7</v>
      </c>
      <c r="D611">
        <v>3.6</v>
      </c>
      <c r="E611">
        <v>3.77</v>
      </c>
      <c r="F611">
        <v>3.9</v>
      </c>
      <c r="G611">
        <v>3.88</v>
      </c>
      <c r="H611">
        <v>3.72</v>
      </c>
      <c r="I611">
        <v>3.61</v>
      </c>
      <c r="J611">
        <v>3.56</v>
      </c>
      <c r="K611">
        <v>3.52</v>
      </c>
      <c r="L611">
        <v>3.49</v>
      </c>
      <c r="M611">
        <v>3.55</v>
      </c>
      <c r="N611">
        <v>3.54</v>
      </c>
      <c r="O611">
        <v>3.59</v>
      </c>
      <c r="P611">
        <v>3.66</v>
      </c>
      <c r="Q611">
        <v>3.66</v>
      </c>
      <c r="R611">
        <v>3.72</v>
      </c>
      <c r="S611">
        <v>3.69</v>
      </c>
      <c r="T611">
        <v>3.61</v>
      </c>
      <c r="U611">
        <v>3.56</v>
      </c>
      <c r="V611">
        <v>3.56</v>
      </c>
      <c r="W611">
        <v>3.5</v>
      </c>
    </row>
    <row r="612" spans="1:23" x14ac:dyDescent="0.35">
      <c r="A612" s="2" t="s">
        <v>858</v>
      </c>
      <c r="B612">
        <v>232.91</v>
      </c>
      <c r="C612">
        <v>234.52</v>
      </c>
      <c r="D612">
        <v>234.52</v>
      </c>
      <c r="E612">
        <v>234.52</v>
      </c>
      <c r="F612">
        <v>233.51</v>
      </c>
      <c r="G612">
        <v>234.93</v>
      </c>
      <c r="H612">
        <v>233.51</v>
      </c>
      <c r="I612">
        <v>235.33</v>
      </c>
      <c r="J612">
        <v>236.13</v>
      </c>
      <c r="K612">
        <v>235.93</v>
      </c>
      <c r="L612">
        <v>234.72</v>
      </c>
      <c r="M612">
        <v>235.13</v>
      </c>
      <c r="N612">
        <v>235.93</v>
      </c>
      <c r="O612">
        <v>235.33</v>
      </c>
      <c r="P612">
        <v>234.52</v>
      </c>
      <c r="Q612">
        <v>236.74</v>
      </c>
      <c r="R612">
        <v>238.35</v>
      </c>
      <c r="S612">
        <v>238.35</v>
      </c>
      <c r="T612">
        <v>238.55</v>
      </c>
      <c r="U612">
        <v>240.57</v>
      </c>
      <c r="V612">
        <v>241.37</v>
      </c>
      <c r="W612">
        <v>241.98</v>
      </c>
    </row>
    <row r="613" spans="1:23" x14ac:dyDescent="0.35">
      <c r="A613" s="2" t="s">
        <v>859</v>
      </c>
      <c r="B613">
        <v>43</v>
      </c>
      <c r="C613">
        <v>43.39</v>
      </c>
      <c r="D613">
        <v>43.39</v>
      </c>
      <c r="E613">
        <v>44.05</v>
      </c>
      <c r="F613">
        <v>44.68</v>
      </c>
      <c r="G613">
        <v>45.14</v>
      </c>
      <c r="H613">
        <v>45.14</v>
      </c>
      <c r="I613">
        <v>45.22</v>
      </c>
      <c r="J613">
        <v>45.11</v>
      </c>
      <c r="K613">
        <v>44.99</v>
      </c>
      <c r="L613">
        <v>44.79</v>
      </c>
      <c r="M613">
        <v>44.25</v>
      </c>
      <c r="N613">
        <v>44.91</v>
      </c>
      <c r="O613">
        <v>44.68</v>
      </c>
      <c r="P613">
        <v>44.13</v>
      </c>
      <c r="Q613">
        <v>44.29</v>
      </c>
      <c r="R613">
        <v>44.41</v>
      </c>
      <c r="S613">
        <v>44.72</v>
      </c>
      <c r="T613">
        <v>44.91</v>
      </c>
      <c r="U613">
        <v>44.99</v>
      </c>
      <c r="V613">
        <v>45.42</v>
      </c>
      <c r="W613">
        <v>45.14</v>
      </c>
    </row>
    <row r="614" spans="1:23" x14ac:dyDescent="0.35">
      <c r="A614" s="2" t="s">
        <v>541</v>
      </c>
      <c r="B614">
        <v>11.85</v>
      </c>
      <c r="C614">
        <v>11.94</v>
      </c>
      <c r="D614">
        <v>12.02</v>
      </c>
      <c r="E614">
        <v>12.02</v>
      </c>
      <c r="F614">
        <v>12.08</v>
      </c>
      <c r="G614">
        <v>12.08</v>
      </c>
      <c r="H614">
        <v>11.45</v>
      </c>
      <c r="I614">
        <v>11.45</v>
      </c>
      <c r="J614">
        <v>11.23</v>
      </c>
      <c r="K614">
        <v>11.23</v>
      </c>
      <c r="L614">
        <v>11.11</v>
      </c>
      <c r="M614">
        <v>10.96</v>
      </c>
      <c r="N614">
        <v>11.32</v>
      </c>
      <c r="O614">
        <v>11.32</v>
      </c>
      <c r="P614">
        <v>10.79</v>
      </c>
      <c r="Q614">
        <v>10.79</v>
      </c>
      <c r="R614">
        <v>10.73</v>
      </c>
      <c r="S614">
        <v>10.82</v>
      </c>
      <c r="T614">
        <v>11.09</v>
      </c>
      <c r="U614">
        <v>11.09</v>
      </c>
      <c r="V614">
        <v>11.09</v>
      </c>
      <c r="W614">
        <v>11.09</v>
      </c>
    </row>
    <row r="615" spans="1:23" x14ac:dyDescent="0.35">
      <c r="A615" s="2" t="s">
        <v>542</v>
      </c>
      <c r="B615">
        <v>0.33</v>
      </c>
      <c r="C615">
        <v>0.33</v>
      </c>
      <c r="D615">
        <v>0.33</v>
      </c>
      <c r="E615">
        <v>0.33</v>
      </c>
      <c r="F615">
        <v>0.33</v>
      </c>
      <c r="G615">
        <v>0.33</v>
      </c>
      <c r="H615">
        <v>0.33</v>
      </c>
      <c r="I615">
        <v>0.33</v>
      </c>
      <c r="J615">
        <v>0.33</v>
      </c>
      <c r="K615">
        <v>0.33</v>
      </c>
      <c r="L615">
        <v>0.33</v>
      </c>
      <c r="M615">
        <v>0.33</v>
      </c>
      <c r="N615">
        <v>0.33</v>
      </c>
      <c r="O615">
        <v>0.36</v>
      </c>
      <c r="P615">
        <v>0.36</v>
      </c>
      <c r="Q615">
        <v>0.36</v>
      </c>
      <c r="R615">
        <v>0.36</v>
      </c>
      <c r="S615">
        <v>0.36</v>
      </c>
      <c r="T615">
        <v>0.36</v>
      </c>
      <c r="U615">
        <v>0.36</v>
      </c>
      <c r="V615">
        <v>0.36</v>
      </c>
      <c r="W615">
        <v>0.36</v>
      </c>
    </row>
    <row r="616" spans="1:23" x14ac:dyDescent="0.35">
      <c r="A616" s="2" t="s">
        <v>543</v>
      </c>
      <c r="B616">
        <v>20.82</v>
      </c>
      <c r="C616">
        <v>21.39</v>
      </c>
      <c r="D616">
        <v>21.39</v>
      </c>
      <c r="E616">
        <v>21.41</v>
      </c>
      <c r="F616">
        <v>21.49</v>
      </c>
      <c r="G616">
        <v>21.51</v>
      </c>
      <c r="H616">
        <v>21.53</v>
      </c>
      <c r="I616">
        <v>21.56</v>
      </c>
      <c r="J616">
        <v>21.56</v>
      </c>
      <c r="K616">
        <v>21.64</v>
      </c>
      <c r="L616">
        <v>21.64</v>
      </c>
      <c r="M616">
        <v>21.45</v>
      </c>
      <c r="N616">
        <v>21.55</v>
      </c>
      <c r="O616">
        <v>21.55</v>
      </c>
      <c r="P616">
        <v>21.3</v>
      </c>
      <c r="Q616">
        <v>21.55</v>
      </c>
      <c r="R616">
        <v>21.3</v>
      </c>
      <c r="S616">
        <v>21.28</v>
      </c>
      <c r="T616">
        <v>21.49</v>
      </c>
      <c r="U616">
        <v>21.77</v>
      </c>
      <c r="V616">
        <v>21.74</v>
      </c>
      <c r="W616">
        <v>21.75</v>
      </c>
    </row>
    <row r="617" spans="1:23" x14ac:dyDescent="0.35">
      <c r="A617" s="2" t="s">
        <v>544</v>
      </c>
      <c r="B617">
        <v>0.84</v>
      </c>
      <c r="C617">
        <v>0.84</v>
      </c>
      <c r="D617">
        <v>0.84</v>
      </c>
      <c r="E617">
        <v>0.84</v>
      </c>
      <c r="F617">
        <v>0.84</v>
      </c>
      <c r="G617">
        <v>0.84</v>
      </c>
      <c r="H617">
        <v>0.84</v>
      </c>
      <c r="I617">
        <v>0.84</v>
      </c>
      <c r="J617">
        <v>0.84</v>
      </c>
      <c r="K617">
        <v>0.84</v>
      </c>
      <c r="L617">
        <v>0.84</v>
      </c>
      <c r="M617">
        <v>0.84</v>
      </c>
      <c r="N617">
        <v>0.84</v>
      </c>
      <c r="O617">
        <v>0.84</v>
      </c>
      <c r="P617">
        <v>0.84</v>
      </c>
      <c r="Q617">
        <v>0.84</v>
      </c>
      <c r="R617">
        <v>0.84</v>
      </c>
      <c r="S617">
        <v>0.88</v>
      </c>
      <c r="T617">
        <v>0.88</v>
      </c>
      <c r="U617">
        <v>0.88</v>
      </c>
      <c r="V617">
        <v>0.88</v>
      </c>
      <c r="W617">
        <v>0.88</v>
      </c>
    </row>
    <row r="618" spans="1:23" x14ac:dyDescent="0.35">
      <c r="A618" s="2" t="s">
        <v>545</v>
      </c>
      <c r="B618">
        <v>0.54</v>
      </c>
      <c r="C618">
        <v>0.54</v>
      </c>
      <c r="D618">
        <v>0.54</v>
      </c>
      <c r="E618">
        <v>0.54</v>
      </c>
      <c r="F618">
        <v>0.54</v>
      </c>
      <c r="G618">
        <v>0.53</v>
      </c>
      <c r="H618">
        <v>0.53</v>
      </c>
      <c r="I618">
        <v>0.55000000000000004</v>
      </c>
      <c r="J618">
        <v>0.55000000000000004</v>
      </c>
      <c r="K618">
        <v>0.55000000000000004</v>
      </c>
      <c r="L618">
        <v>0.55000000000000004</v>
      </c>
      <c r="M618">
        <v>0.55000000000000004</v>
      </c>
      <c r="N618">
        <v>0.54</v>
      </c>
      <c r="O618">
        <v>0.54</v>
      </c>
      <c r="P618">
        <v>0.54</v>
      </c>
      <c r="Q618">
        <v>0.56999999999999995</v>
      </c>
      <c r="R618">
        <v>0.56999999999999995</v>
      </c>
      <c r="S618">
        <v>0.56999999999999995</v>
      </c>
      <c r="T618">
        <v>0.56999999999999995</v>
      </c>
      <c r="U618">
        <v>0.56999999999999995</v>
      </c>
      <c r="V618">
        <v>0.56999999999999995</v>
      </c>
      <c r="W618">
        <v>0.56999999999999995</v>
      </c>
    </row>
    <row r="619" spans="1:23" x14ac:dyDescent="0.35">
      <c r="A619" s="2" t="s">
        <v>546</v>
      </c>
      <c r="B619">
        <v>0.2</v>
      </c>
      <c r="C619">
        <v>0.2</v>
      </c>
      <c r="D619">
        <v>0.2</v>
      </c>
      <c r="E619">
        <v>0.2</v>
      </c>
      <c r="F619">
        <v>0.2</v>
      </c>
      <c r="G619">
        <v>0.2</v>
      </c>
      <c r="H619">
        <v>0.2</v>
      </c>
      <c r="I619">
        <v>0.2</v>
      </c>
      <c r="J619">
        <v>0.2</v>
      </c>
      <c r="K619">
        <v>0.2</v>
      </c>
      <c r="L619">
        <v>0.2</v>
      </c>
      <c r="M619">
        <v>0.2</v>
      </c>
      <c r="N619">
        <v>0.2</v>
      </c>
      <c r="O619">
        <v>0.2</v>
      </c>
      <c r="P619">
        <v>0.2</v>
      </c>
      <c r="Q619">
        <v>0.2</v>
      </c>
      <c r="R619">
        <v>0.2</v>
      </c>
      <c r="S619">
        <v>0.2</v>
      </c>
      <c r="T619">
        <v>0.21</v>
      </c>
      <c r="U619">
        <v>0.2</v>
      </c>
      <c r="V619">
        <v>0.2</v>
      </c>
      <c r="W619">
        <v>0.21</v>
      </c>
    </row>
    <row r="620" spans="1:23" x14ac:dyDescent="0.35">
      <c r="A620" s="2" t="s">
        <v>547</v>
      </c>
      <c r="B620">
        <v>2.5</v>
      </c>
      <c r="C620">
        <v>2.52</v>
      </c>
      <c r="D620">
        <v>2.52</v>
      </c>
      <c r="E620">
        <v>2.5499999999999998</v>
      </c>
      <c r="F620">
        <v>2.54</v>
      </c>
      <c r="G620">
        <v>2.54</v>
      </c>
      <c r="H620">
        <v>2.5499999999999998</v>
      </c>
      <c r="I620">
        <v>2.54</v>
      </c>
      <c r="J620">
        <v>2.54</v>
      </c>
      <c r="K620">
        <v>2.54</v>
      </c>
      <c r="L620">
        <v>2.54</v>
      </c>
      <c r="M620">
        <v>2.54</v>
      </c>
      <c r="N620">
        <v>2.58</v>
      </c>
      <c r="O620">
        <v>2.59</v>
      </c>
      <c r="P620">
        <v>2.63</v>
      </c>
      <c r="Q620">
        <v>2.64</v>
      </c>
      <c r="R620">
        <v>2.66</v>
      </c>
      <c r="S620">
        <v>2.67</v>
      </c>
      <c r="T620">
        <v>2.67</v>
      </c>
      <c r="U620">
        <v>2.64</v>
      </c>
      <c r="V620">
        <v>2.64</v>
      </c>
      <c r="W620">
        <v>2.66</v>
      </c>
    </row>
    <row r="621" spans="1:23" x14ac:dyDescent="0.35">
      <c r="A621" s="2" t="s">
        <v>548</v>
      </c>
      <c r="B621">
        <v>13.56</v>
      </c>
      <c r="C621">
        <v>13.43</v>
      </c>
      <c r="D621">
        <v>14.02</v>
      </c>
      <c r="E621">
        <v>14.42</v>
      </c>
      <c r="F621">
        <v>14.37</v>
      </c>
      <c r="G621">
        <v>14.39</v>
      </c>
      <c r="H621">
        <v>13.91</v>
      </c>
      <c r="I621">
        <v>14.06</v>
      </c>
      <c r="J621">
        <v>14.09</v>
      </c>
      <c r="K621">
        <v>13.81</v>
      </c>
      <c r="L621">
        <v>14.03</v>
      </c>
      <c r="M621">
        <v>14.01</v>
      </c>
      <c r="N621">
        <v>14.07</v>
      </c>
      <c r="O621">
        <v>14.17</v>
      </c>
      <c r="P621">
        <v>13.97</v>
      </c>
      <c r="Q621">
        <v>14.17</v>
      </c>
      <c r="R621">
        <v>14.11</v>
      </c>
      <c r="S621">
        <v>13.76</v>
      </c>
      <c r="T621">
        <v>13.78</v>
      </c>
      <c r="U621">
        <v>13.92</v>
      </c>
      <c r="V621">
        <v>13.96</v>
      </c>
      <c r="W621">
        <v>13.9</v>
      </c>
    </row>
    <row r="622" spans="1:23" x14ac:dyDescent="0.35">
      <c r="A622" s="2" t="s">
        <v>549</v>
      </c>
      <c r="B622">
        <v>6.39</v>
      </c>
      <c r="C622">
        <v>6.37</v>
      </c>
      <c r="D622">
        <v>6.28</v>
      </c>
      <c r="E622">
        <v>6.34</v>
      </c>
      <c r="F622">
        <v>6.35</v>
      </c>
      <c r="G622">
        <v>6.47</v>
      </c>
      <c r="H622">
        <v>6.29</v>
      </c>
      <c r="I622">
        <v>6.35</v>
      </c>
      <c r="J622">
        <v>6.42</v>
      </c>
      <c r="K622">
        <v>6.49</v>
      </c>
      <c r="L622">
        <v>6.49</v>
      </c>
      <c r="M622">
        <v>6.46</v>
      </c>
      <c r="N622">
        <v>6.42</v>
      </c>
      <c r="O622">
        <v>6.53</v>
      </c>
      <c r="P622">
        <v>6.54</v>
      </c>
      <c r="Q622">
        <v>6.55</v>
      </c>
      <c r="R622">
        <v>6.52</v>
      </c>
      <c r="S622">
        <v>6.53</v>
      </c>
      <c r="T622">
        <v>6.64</v>
      </c>
      <c r="U622">
        <v>6.71</v>
      </c>
      <c r="V622">
        <v>6.65</v>
      </c>
      <c r="W622">
        <v>6.48</v>
      </c>
    </row>
    <row r="623" spans="1:23" x14ac:dyDescent="0.35">
      <c r="A623" s="2" t="s">
        <v>550</v>
      </c>
      <c r="B623">
        <v>4.1399999999999997</v>
      </c>
      <c r="C623">
        <v>4.1399999999999997</v>
      </c>
      <c r="D623">
        <v>4.1399999999999997</v>
      </c>
      <c r="E623">
        <v>4.1399999999999997</v>
      </c>
      <c r="F623">
        <v>4.1399999999999997</v>
      </c>
      <c r="G623">
        <v>4.1399999999999997</v>
      </c>
      <c r="H623">
        <v>4.17</v>
      </c>
      <c r="I623">
        <v>4.18</v>
      </c>
      <c r="J623">
        <v>4.28</v>
      </c>
      <c r="K623">
        <v>4.2300000000000004</v>
      </c>
      <c r="L623">
        <v>4.2699999999999996</v>
      </c>
      <c r="M623">
        <v>4.25</v>
      </c>
      <c r="N623">
        <v>4.29</v>
      </c>
      <c r="O623">
        <v>4.25</v>
      </c>
      <c r="P623">
        <v>4.3499999999999996</v>
      </c>
      <c r="Q623">
        <v>4.24</v>
      </c>
      <c r="R623">
        <v>4.17</v>
      </c>
      <c r="S623">
        <v>4.2</v>
      </c>
      <c r="T623">
        <v>4.03</v>
      </c>
      <c r="U623">
        <v>4.07</v>
      </c>
      <c r="V623">
        <v>4.04</v>
      </c>
      <c r="W623">
        <v>4.01</v>
      </c>
    </row>
    <row r="624" spans="1:23" x14ac:dyDescent="0.35">
      <c r="A624" s="2" t="s">
        <v>551</v>
      </c>
      <c r="B624">
        <v>13.5</v>
      </c>
      <c r="C624">
        <v>13.05</v>
      </c>
      <c r="D624">
        <v>13.1</v>
      </c>
      <c r="E624">
        <v>13.27</v>
      </c>
      <c r="F624">
        <v>13.15</v>
      </c>
      <c r="G624">
        <v>13.41</v>
      </c>
      <c r="H624">
        <v>13.31</v>
      </c>
      <c r="I624">
        <v>13.31</v>
      </c>
      <c r="J624">
        <v>13.22</v>
      </c>
      <c r="K624">
        <v>13.37</v>
      </c>
      <c r="L624">
        <v>13.4</v>
      </c>
      <c r="M624">
        <v>13.6</v>
      </c>
      <c r="N624">
        <v>13.51</v>
      </c>
      <c r="O624">
        <v>13.8</v>
      </c>
      <c r="P624">
        <v>14.02</v>
      </c>
      <c r="Q624">
        <v>14.07</v>
      </c>
      <c r="R624">
        <v>13.9</v>
      </c>
      <c r="S624">
        <v>13.7</v>
      </c>
      <c r="T624">
        <v>13.85</v>
      </c>
      <c r="U624">
        <v>13.74</v>
      </c>
      <c r="V624">
        <v>13.98</v>
      </c>
      <c r="W624">
        <v>14.02</v>
      </c>
    </row>
    <row r="625" spans="1:23" x14ac:dyDescent="0.35">
      <c r="A625" s="2" t="s">
        <v>552</v>
      </c>
      <c r="B625">
        <v>2.27</v>
      </c>
      <c r="C625">
        <v>2.27</v>
      </c>
      <c r="D625">
        <v>2.1800000000000002</v>
      </c>
      <c r="E625">
        <v>2.1800000000000002</v>
      </c>
      <c r="F625">
        <v>2.1800000000000002</v>
      </c>
      <c r="G625">
        <v>2.1800000000000002</v>
      </c>
      <c r="H625">
        <v>2.1800000000000002</v>
      </c>
      <c r="I625">
        <v>2.1800000000000002</v>
      </c>
      <c r="J625">
        <v>2.1800000000000002</v>
      </c>
      <c r="K625">
        <v>2.1800000000000002</v>
      </c>
      <c r="L625">
        <v>2.1800000000000002</v>
      </c>
      <c r="M625">
        <v>2.1800000000000002</v>
      </c>
      <c r="N625">
        <v>2.1800000000000002</v>
      </c>
      <c r="O625">
        <v>2.06</v>
      </c>
      <c r="P625">
        <v>2.06</v>
      </c>
      <c r="Q625">
        <v>2.04</v>
      </c>
      <c r="R625">
        <v>2.04</v>
      </c>
      <c r="S625">
        <v>2.11</v>
      </c>
      <c r="T625">
        <v>2.0499999999999998</v>
      </c>
      <c r="U625">
        <v>2.0499999999999998</v>
      </c>
      <c r="V625">
        <v>2.0499999999999998</v>
      </c>
      <c r="W625">
        <v>2.0499999999999998</v>
      </c>
    </row>
    <row r="626" spans="1:23" x14ac:dyDescent="0.35">
      <c r="A626" s="2" t="s">
        <v>553</v>
      </c>
      <c r="B626">
        <v>73.61</v>
      </c>
      <c r="C626">
        <v>74.89</v>
      </c>
      <c r="D626">
        <v>76.290000000000006</v>
      </c>
      <c r="E626">
        <v>77.510000000000005</v>
      </c>
      <c r="F626">
        <v>78.92</v>
      </c>
      <c r="G626">
        <v>78.430000000000007</v>
      </c>
      <c r="H626">
        <v>77.819999999999993</v>
      </c>
      <c r="I626">
        <v>78.849999999999994</v>
      </c>
      <c r="J626">
        <v>79.099999999999994</v>
      </c>
      <c r="K626">
        <v>78.430000000000007</v>
      </c>
      <c r="L626">
        <v>78.31</v>
      </c>
      <c r="M626">
        <v>77.88</v>
      </c>
      <c r="N626">
        <v>78.180000000000007</v>
      </c>
      <c r="O626">
        <v>79.28</v>
      </c>
      <c r="P626">
        <v>78.92</v>
      </c>
      <c r="Q626">
        <v>79.099999999999994</v>
      </c>
      <c r="R626">
        <v>79.22</v>
      </c>
      <c r="S626">
        <v>78.67</v>
      </c>
      <c r="T626">
        <v>78.61</v>
      </c>
      <c r="U626">
        <v>79.28</v>
      </c>
      <c r="V626">
        <v>80.069999999999993</v>
      </c>
      <c r="W626">
        <v>79.650000000000006</v>
      </c>
    </row>
    <row r="627" spans="1:23" x14ac:dyDescent="0.35">
      <c r="A627" s="2" t="s">
        <v>860</v>
      </c>
      <c r="B627">
        <v>40.06</v>
      </c>
      <c r="C627">
        <v>39.83</v>
      </c>
      <c r="D627">
        <v>39.6</v>
      </c>
      <c r="E627">
        <v>40.229999999999997</v>
      </c>
      <c r="F627">
        <v>40.03</v>
      </c>
      <c r="G627">
        <v>40.29</v>
      </c>
      <c r="H627">
        <v>41.42</v>
      </c>
      <c r="I627">
        <v>41.36</v>
      </c>
      <c r="J627">
        <v>41.39</v>
      </c>
      <c r="K627">
        <v>41.32</v>
      </c>
      <c r="L627">
        <v>41.16</v>
      </c>
      <c r="M627">
        <v>41.56</v>
      </c>
      <c r="N627">
        <v>41.75</v>
      </c>
      <c r="O627">
        <v>42.05</v>
      </c>
      <c r="P627">
        <v>42.42</v>
      </c>
      <c r="Q627">
        <v>42.55</v>
      </c>
      <c r="R627">
        <v>42.09</v>
      </c>
      <c r="S627">
        <v>42.02</v>
      </c>
      <c r="T627">
        <v>41.79</v>
      </c>
      <c r="U627">
        <v>42.09</v>
      </c>
      <c r="V627">
        <v>42.22</v>
      </c>
      <c r="W627">
        <v>41.95</v>
      </c>
    </row>
    <row r="628" spans="1:23" x14ac:dyDescent="0.35">
      <c r="A628" s="2" t="s">
        <v>554</v>
      </c>
      <c r="B628">
        <v>5.84</v>
      </c>
      <c r="C628">
        <v>5.84</v>
      </c>
      <c r="D628">
        <v>5.85</v>
      </c>
      <c r="E628">
        <v>5.92</v>
      </c>
      <c r="F628">
        <v>5.98</v>
      </c>
      <c r="G628">
        <v>5.99</v>
      </c>
      <c r="H628">
        <v>6</v>
      </c>
      <c r="I628">
        <v>5.98</v>
      </c>
      <c r="J628">
        <v>5.97</v>
      </c>
      <c r="K628">
        <v>5.98</v>
      </c>
      <c r="L628">
        <v>5.96</v>
      </c>
      <c r="M628">
        <v>6.11</v>
      </c>
      <c r="N628">
        <v>6.14</v>
      </c>
      <c r="O628">
        <v>6.04</v>
      </c>
      <c r="P628">
        <v>6.07</v>
      </c>
      <c r="Q628">
        <v>6.06</v>
      </c>
      <c r="R628">
        <v>6.1</v>
      </c>
      <c r="S628">
        <v>6.12</v>
      </c>
      <c r="T628">
        <v>6.12</v>
      </c>
      <c r="U628">
        <v>6.14</v>
      </c>
      <c r="V628">
        <v>6.19</v>
      </c>
      <c r="W628">
        <v>6.09</v>
      </c>
    </row>
    <row r="629" spans="1:23" x14ac:dyDescent="0.35">
      <c r="A629" s="2" t="s">
        <v>555</v>
      </c>
      <c r="B629">
        <v>4.5999999999999996</v>
      </c>
      <c r="C629">
        <v>4.62</v>
      </c>
      <c r="D629">
        <v>4.6500000000000004</v>
      </c>
      <c r="E629">
        <v>4.66</v>
      </c>
      <c r="F629">
        <v>4.66</v>
      </c>
      <c r="G629">
        <v>4.6500000000000004</v>
      </c>
      <c r="H629">
        <v>4.75</v>
      </c>
      <c r="I629">
        <v>4.7699999999999996</v>
      </c>
      <c r="J629">
        <v>4.78</v>
      </c>
      <c r="K629">
        <v>4.8</v>
      </c>
      <c r="L629">
        <v>4.8</v>
      </c>
      <c r="M629">
        <v>4.8</v>
      </c>
      <c r="N629">
        <v>4.8</v>
      </c>
      <c r="O629">
        <v>4.8099999999999996</v>
      </c>
      <c r="P629">
        <v>4.8499999999999996</v>
      </c>
      <c r="Q629">
        <v>4.8600000000000003</v>
      </c>
      <c r="R629">
        <v>4.87</v>
      </c>
      <c r="S629">
        <v>4.8600000000000003</v>
      </c>
      <c r="T629">
        <v>4.9000000000000004</v>
      </c>
      <c r="U629">
        <v>4.91</v>
      </c>
      <c r="V629">
        <v>4.9000000000000004</v>
      </c>
      <c r="W629">
        <v>4.8899999999999997</v>
      </c>
    </row>
    <row r="630" spans="1:23" x14ac:dyDescent="0.35">
      <c r="A630" s="2" t="s">
        <v>556</v>
      </c>
      <c r="B630">
        <v>0.73</v>
      </c>
      <c r="C630">
        <v>0.73</v>
      </c>
      <c r="D630">
        <v>0.73</v>
      </c>
      <c r="E630">
        <v>0.73</v>
      </c>
      <c r="F630">
        <v>0.73</v>
      </c>
      <c r="G630">
        <v>0.73</v>
      </c>
      <c r="H630">
        <v>0.73</v>
      </c>
      <c r="I630">
        <v>0.73</v>
      </c>
      <c r="J630">
        <v>0.73</v>
      </c>
      <c r="K630">
        <v>0.73</v>
      </c>
      <c r="L630">
        <v>0.73</v>
      </c>
      <c r="M630">
        <v>0.73</v>
      </c>
      <c r="N630">
        <v>0.73</v>
      </c>
      <c r="O630">
        <v>0.73</v>
      </c>
      <c r="P630">
        <v>0.73</v>
      </c>
      <c r="Q630">
        <v>0.73</v>
      </c>
      <c r="R630">
        <v>0.73</v>
      </c>
      <c r="S630">
        <v>0.73</v>
      </c>
      <c r="T630">
        <v>0.73</v>
      </c>
      <c r="U630">
        <v>0.73</v>
      </c>
      <c r="V630">
        <v>0.73</v>
      </c>
      <c r="W630">
        <v>0.73</v>
      </c>
    </row>
    <row r="631" spans="1:23" x14ac:dyDescent="0.35">
      <c r="A631" s="2" t="s">
        <v>557</v>
      </c>
      <c r="B631">
        <v>31.45</v>
      </c>
      <c r="C631">
        <v>32.18</v>
      </c>
      <c r="D631">
        <v>31.64</v>
      </c>
      <c r="E631">
        <v>35.08</v>
      </c>
      <c r="F631">
        <v>35.380000000000003</v>
      </c>
      <c r="G631">
        <v>34.44</v>
      </c>
      <c r="H631">
        <v>34.94</v>
      </c>
      <c r="I631">
        <v>34.21</v>
      </c>
      <c r="J631">
        <v>34.42</v>
      </c>
      <c r="K631">
        <v>34.04</v>
      </c>
      <c r="L631">
        <v>34.56</v>
      </c>
      <c r="M631">
        <v>32.979999999999997</v>
      </c>
      <c r="N631">
        <v>35.049999999999997</v>
      </c>
      <c r="O631">
        <v>35.549999999999997</v>
      </c>
      <c r="P631">
        <v>34.94</v>
      </c>
      <c r="Q631">
        <v>35.22</v>
      </c>
      <c r="R631">
        <v>35.64</v>
      </c>
      <c r="S631">
        <v>34.79</v>
      </c>
      <c r="T631">
        <v>36.32</v>
      </c>
      <c r="U631">
        <v>35.26</v>
      </c>
      <c r="V631">
        <v>35.9</v>
      </c>
      <c r="W631">
        <v>35.67</v>
      </c>
    </row>
    <row r="632" spans="1:23" x14ac:dyDescent="0.35">
      <c r="A632" s="2" t="s">
        <v>558</v>
      </c>
      <c r="B632">
        <v>17.62</v>
      </c>
      <c r="C632">
        <v>17.72</v>
      </c>
      <c r="D632">
        <v>17.760000000000002</v>
      </c>
      <c r="E632">
        <v>18.010000000000002</v>
      </c>
      <c r="F632">
        <v>18.14</v>
      </c>
      <c r="G632">
        <v>18.13</v>
      </c>
      <c r="H632">
        <v>18.260000000000002</v>
      </c>
      <c r="I632">
        <v>17.96</v>
      </c>
      <c r="J632">
        <v>18.170000000000002</v>
      </c>
      <c r="K632">
        <v>18.170000000000002</v>
      </c>
      <c r="L632">
        <v>17.559999999999999</v>
      </c>
      <c r="M632">
        <v>17.84</v>
      </c>
      <c r="N632">
        <v>17.96</v>
      </c>
      <c r="O632">
        <v>18.07</v>
      </c>
      <c r="P632">
        <v>17.96</v>
      </c>
      <c r="Q632">
        <v>18.07</v>
      </c>
      <c r="R632">
        <v>17.96</v>
      </c>
      <c r="S632">
        <v>17.75</v>
      </c>
      <c r="T632">
        <v>17.86</v>
      </c>
      <c r="U632">
        <v>18.190000000000001</v>
      </c>
      <c r="V632">
        <v>18.07</v>
      </c>
      <c r="W632">
        <v>17.989999999999998</v>
      </c>
    </row>
    <row r="633" spans="1:23" x14ac:dyDescent="0.35">
      <c r="A633" s="2" t="s">
        <v>559</v>
      </c>
      <c r="B633">
        <v>0.08</v>
      </c>
      <c r="C633">
        <v>0.08</v>
      </c>
      <c r="D633">
        <v>0.08</v>
      </c>
      <c r="E633">
        <v>0.08</v>
      </c>
      <c r="F633">
        <v>0.08</v>
      </c>
      <c r="G633">
        <v>0.09</v>
      </c>
      <c r="H633">
        <v>0.09</v>
      </c>
      <c r="I633">
        <v>0.09</v>
      </c>
      <c r="J633">
        <v>0.09</v>
      </c>
      <c r="K633">
        <v>0.09</v>
      </c>
      <c r="L633">
        <v>0.09</v>
      </c>
      <c r="M633">
        <v>0.09</v>
      </c>
      <c r="N633">
        <v>0.09</v>
      </c>
      <c r="O633">
        <v>0.09</v>
      </c>
      <c r="P633">
        <v>0.09</v>
      </c>
      <c r="Q633">
        <v>0.09</v>
      </c>
      <c r="R633">
        <v>0.09</v>
      </c>
      <c r="S633">
        <v>0.09</v>
      </c>
      <c r="T633">
        <v>0.09</v>
      </c>
      <c r="U633">
        <v>0.09</v>
      </c>
      <c r="V633">
        <v>0.09</v>
      </c>
      <c r="W633">
        <v>0.09</v>
      </c>
    </row>
    <row r="634" spans="1:23" x14ac:dyDescent="0.35">
      <c r="A634" s="2" t="s">
        <v>560</v>
      </c>
      <c r="B634">
        <v>0.27</v>
      </c>
      <c r="C634">
        <v>0.26</v>
      </c>
      <c r="D634">
        <v>0.27</v>
      </c>
      <c r="E634">
        <v>0.27</v>
      </c>
      <c r="F634">
        <v>0.27</v>
      </c>
      <c r="G634">
        <v>0.27</v>
      </c>
      <c r="H634">
        <v>0.27</v>
      </c>
      <c r="I634">
        <v>0.27</v>
      </c>
      <c r="J634">
        <v>0.28000000000000003</v>
      </c>
      <c r="K634">
        <v>0.28000000000000003</v>
      </c>
      <c r="L634">
        <v>0.28000000000000003</v>
      </c>
      <c r="M634">
        <v>0.28000000000000003</v>
      </c>
      <c r="N634">
        <v>0.28000000000000003</v>
      </c>
      <c r="O634">
        <v>0.28000000000000003</v>
      </c>
      <c r="P634">
        <v>0.28000000000000003</v>
      </c>
      <c r="Q634">
        <v>0.28000000000000003</v>
      </c>
      <c r="R634">
        <v>0.28000000000000003</v>
      </c>
      <c r="S634">
        <v>0.28000000000000003</v>
      </c>
      <c r="T634">
        <v>0.28999999999999998</v>
      </c>
      <c r="U634">
        <v>0.28999999999999998</v>
      </c>
      <c r="V634">
        <v>0.28999999999999998</v>
      </c>
      <c r="W634">
        <v>0.28000000000000003</v>
      </c>
    </row>
    <row r="635" spans="1:23" x14ac:dyDescent="0.35">
      <c r="A635" s="2" t="s">
        <v>561</v>
      </c>
      <c r="B635">
        <v>64.760000000000005</v>
      </c>
      <c r="C635">
        <v>64.45</v>
      </c>
      <c r="D635">
        <v>65.010000000000005</v>
      </c>
      <c r="E635">
        <v>65.06</v>
      </c>
      <c r="F635">
        <v>65.27</v>
      </c>
      <c r="G635">
        <v>65.930000000000007</v>
      </c>
      <c r="H635">
        <v>66.489999999999995</v>
      </c>
      <c r="I635">
        <v>66.540000000000006</v>
      </c>
      <c r="J635">
        <v>66.739999999999995</v>
      </c>
      <c r="K635">
        <v>67.3</v>
      </c>
      <c r="L635">
        <v>67.91</v>
      </c>
      <c r="M635">
        <v>68.16</v>
      </c>
      <c r="N635">
        <v>68.31</v>
      </c>
      <c r="O635">
        <v>68.42</v>
      </c>
      <c r="P635">
        <v>68.92</v>
      </c>
      <c r="Q635">
        <v>69.13</v>
      </c>
      <c r="R635">
        <v>69.23</v>
      </c>
      <c r="S635">
        <v>69.38</v>
      </c>
      <c r="T635">
        <v>70.040000000000006</v>
      </c>
      <c r="U635">
        <v>69.69</v>
      </c>
      <c r="V635">
        <v>69.84</v>
      </c>
      <c r="W635">
        <v>69.94</v>
      </c>
    </row>
    <row r="636" spans="1:23" x14ac:dyDescent="0.35">
      <c r="A636" s="2" t="s">
        <v>562</v>
      </c>
      <c r="B636">
        <v>0.09</v>
      </c>
      <c r="C636">
        <v>0.09</v>
      </c>
      <c r="D636">
        <v>0.09</v>
      </c>
      <c r="E636">
        <v>0.09</v>
      </c>
      <c r="F636">
        <v>0.09</v>
      </c>
      <c r="G636">
        <v>0.09</v>
      </c>
      <c r="H636">
        <v>0.09</v>
      </c>
      <c r="I636">
        <v>0.09</v>
      </c>
      <c r="J636">
        <v>0.1</v>
      </c>
      <c r="K636">
        <v>0.1</v>
      </c>
      <c r="L636">
        <v>0.1</v>
      </c>
      <c r="M636">
        <v>0.1</v>
      </c>
      <c r="N636">
        <v>0.1</v>
      </c>
      <c r="O636">
        <v>0.1</v>
      </c>
      <c r="P636">
        <v>0.1</v>
      </c>
      <c r="Q636">
        <v>0.1</v>
      </c>
      <c r="R636">
        <v>0.1</v>
      </c>
      <c r="S636">
        <v>0.1</v>
      </c>
      <c r="T636">
        <v>0.1</v>
      </c>
      <c r="U636">
        <v>0.1</v>
      </c>
      <c r="V636">
        <v>0.1</v>
      </c>
      <c r="W636">
        <v>0.1</v>
      </c>
    </row>
    <row r="637" spans="1:23" x14ac:dyDescent="0.35">
      <c r="A637" s="2" t="s">
        <v>563</v>
      </c>
      <c r="B637">
        <v>12.71</v>
      </c>
      <c r="C637">
        <v>12.96</v>
      </c>
      <c r="D637">
        <v>12.96</v>
      </c>
      <c r="E637">
        <v>12.96</v>
      </c>
      <c r="F637">
        <v>13.1</v>
      </c>
      <c r="G637">
        <v>13.02</v>
      </c>
      <c r="H637">
        <v>13.1</v>
      </c>
      <c r="I637">
        <v>13.1</v>
      </c>
      <c r="J637">
        <v>13.03</v>
      </c>
      <c r="K637">
        <v>13.1</v>
      </c>
      <c r="L637">
        <v>13.1</v>
      </c>
      <c r="M637">
        <v>13.1</v>
      </c>
      <c r="N637">
        <v>13.1</v>
      </c>
      <c r="O637">
        <v>13.1</v>
      </c>
      <c r="P637">
        <v>13.1</v>
      </c>
      <c r="Q637">
        <v>13.1</v>
      </c>
      <c r="R637">
        <v>13.09</v>
      </c>
      <c r="S637">
        <v>13.09</v>
      </c>
      <c r="T637">
        <v>13.09</v>
      </c>
      <c r="U637">
        <v>13.09</v>
      </c>
      <c r="V637">
        <v>13.09</v>
      </c>
      <c r="W637">
        <v>13.09</v>
      </c>
    </row>
    <row r="638" spans="1:23" x14ac:dyDescent="0.35">
      <c r="A638" s="2" t="s">
        <v>564</v>
      </c>
      <c r="B638">
        <v>5.62</v>
      </c>
      <c r="C638">
        <v>5.62</v>
      </c>
      <c r="D638">
        <v>5.71</v>
      </c>
      <c r="E638">
        <v>5.7</v>
      </c>
      <c r="F638">
        <v>5.71</v>
      </c>
      <c r="G638">
        <v>5.76</v>
      </c>
      <c r="H638">
        <v>5.85</v>
      </c>
      <c r="I638">
        <v>5.88</v>
      </c>
      <c r="J638">
        <v>5.91</v>
      </c>
      <c r="K638">
        <v>5.92</v>
      </c>
      <c r="L638">
        <v>6.36</v>
      </c>
      <c r="M638">
        <v>6.1</v>
      </c>
      <c r="N638">
        <v>6.1</v>
      </c>
      <c r="O638">
        <v>6.12</v>
      </c>
      <c r="P638">
        <v>6.12</v>
      </c>
      <c r="Q638">
        <v>6.19</v>
      </c>
      <c r="R638">
        <v>6.21</v>
      </c>
      <c r="S638">
        <v>6.25</v>
      </c>
      <c r="T638">
        <v>6.24</v>
      </c>
      <c r="U638">
        <v>6.13</v>
      </c>
      <c r="V638">
        <v>6.26</v>
      </c>
      <c r="W638">
        <v>6.28</v>
      </c>
    </row>
    <row r="639" spans="1:23" x14ac:dyDescent="0.35">
      <c r="A639" s="2" t="s">
        <v>565</v>
      </c>
      <c r="B639">
        <v>1.88</v>
      </c>
      <c r="C639">
        <v>1.9</v>
      </c>
      <c r="D639">
        <v>1.89</v>
      </c>
      <c r="E639">
        <v>1.9</v>
      </c>
      <c r="F639">
        <v>1.95</v>
      </c>
      <c r="G639">
        <v>1.97</v>
      </c>
      <c r="H639">
        <v>1.98</v>
      </c>
      <c r="I639">
        <v>1.97</v>
      </c>
      <c r="J639">
        <v>2.0099999999999998</v>
      </c>
      <c r="K639">
        <v>2.04</v>
      </c>
      <c r="L639">
        <v>2.0299999999999998</v>
      </c>
      <c r="M639">
        <v>2.0299999999999998</v>
      </c>
      <c r="N639">
        <v>2.02</v>
      </c>
      <c r="O639">
        <v>2.02</v>
      </c>
      <c r="P639">
        <v>2.02</v>
      </c>
      <c r="Q639">
        <v>2.0299999999999998</v>
      </c>
      <c r="R639">
        <v>2.0099999999999998</v>
      </c>
      <c r="S639">
        <v>2.02</v>
      </c>
      <c r="T639">
        <v>2.0099999999999998</v>
      </c>
      <c r="U639">
        <v>2.0299999999999998</v>
      </c>
      <c r="V639">
        <v>2.02</v>
      </c>
      <c r="W639">
        <v>2.02</v>
      </c>
    </row>
    <row r="640" spans="1:23" x14ac:dyDescent="0.35">
      <c r="A640" s="2" t="s">
        <v>566</v>
      </c>
      <c r="B640">
        <v>0.28000000000000003</v>
      </c>
      <c r="C640">
        <v>0.28000000000000003</v>
      </c>
      <c r="D640">
        <v>0.28000000000000003</v>
      </c>
      <c r="E640">
        <v>0.28000000000000003</v>
      </c>
      <c r="F640">
        <v>0.28999999999999998</v>
      </c>
      <c r="G640">
        <v>0.3</v>
      </c>
      <c r="H640">
        <v>0.3</v>
      </c>
      <c r="I640">
        <v>0.3</v>
      </c>
      <c r="J640">
        <v>0.3</v>
      </c>
      <c r="K640">
        <v>0.3</v>
      </c>
      <c r="L640">
        <v>0.3</v>
      </c>
      <c r="M640">
        <v>0.3</v>
      </c>
      <c r="N640">
        <v>0.3</v>
      </c>
      <c r="O640">
        <v>0.3</v>
      </c>
      <c r="P640">
        <v>0.3</v>
      </c>
      <c r="Q640">
        <v>0.3</v>
      </c>
      <c r="R640">
        <v>0.28999999999999998</v>
      </c>
      <c r="S640">
        <v>0.28999999999999998</v>
      </c>
      <c r="T640">
        <v>0.28999999999999998</v>
      </c>
      <c r="U640">
        <v>0.28999999999999998</v>
      </c>
      <c r="V640">
        <v>0.3</v>
      </c>
      <c r="W640">
        <v>0.3</v>
      </c>
    </row>
    <row r="641" spans="1:23" x14ac:dyDescent="0.35">
      <c r="A641" s="2" t="s">
        <v>567</v>
      </c>
      <c r="B641">
        <v>1.47</v>
      </c>
      <c r="C641">
        <v>1.49</v>
      </c>
      <c r="D641">
        <v>1.5</v>
      </c>
      <c r="E641">
        <v>1.51</v>
      </c>
      <c r="F641">
        <v>1.53</v>
      </c>
      <c r="G641">
        <v>1.54</v>
      </c>
      <c r="H641">
        <v>1.54</v>
      </c>
      <c r="I641">
        <v>1.58</v>
      </c>
      <c r="J641">
        <v>1.59</v>
      </c>
      <c r="K641">
        <v>1.58</v>
      </c>
      <c r="L641">
        <v>1.58</v>
      </c>
      <c r="M641">
        <v>1.59</v>
      </c>
      <c r="N641">
        <v>1.59</v>
      </c>
      <c r="O641">
        <v>1.61</v>
      </c>
      <c r="P641">
        <v>1.63</v>
      </c>
      <c r="Q641">
        <v>1.62</v>
      </c>
      <c r="R641">
        <v>1.64</v>
      </c>
      <c r="S641">
        <v>1.65</v>
      </c>
      <c r="T641">
        <v>1.66</v>
      </c>
      <c r="U641">
        <v>1.67</v>
      </c>
      <c r="V641">
        <v>1.68</v>
      </c>
      <c r="W641">
        <v>1.68</v>
      </c>
    </row>
    <row r="642" spans="1:23" x14ac:dyDescent="0.35">
      <c r="A642" s="2" t="s">
        <v>568</v>
      </c>
      <c r="B642">
        <v>1.83</v>
      </c>
      <c r="C642">
        <v>1.83</v>
      </c>
      <c r="D642">
        <v>1.83</v>
      </c>
      <c r="E642">
        <v>1.83</v>
      </c>
      <c r="F642">
        <v>1.83</v>
      </c>
      <c r="G642">
        <v>1.83</v>
      </c>
      <c r="H642">
        <v>1.83</v>
      </c>
      <c r="I642">
        <v>1.83</v>
      </c>
      <c r="J642">
        <v>1.83</v>
      </c>
      <c r="K642">
        <v>1.88</v>
      </c>
      <c r="L642">
        <v>1.88</v>
      </c>
      <c r="M642">
        <v>1.88</v>
      </c>
      <c r="N642">
        <v>1.89</v>
      </c>
      <c r="O642">
        <v>1.89</v>
      </c>
      <c r="P642">
        <v>1.89</v>
      </c>
      <c r="Q642">
        <v>1.89</v>
      </c>
      <c r="R642">
        <v>1.89</v>
      </c>
      <c r="S642">
        <v>1.89</v>
      </c>
      <c r="T642">
        <v>1.89</v>
      </c>
      <c r="U642">
        <v>1.89</v>
      </c>
      <c r="V642">
        <v>1.89</v>
      </c>
      <c r="W642">
        <v>1.9</v>
      </c>
    </row>
    <row r="643" spans="1:23" x14ac:dyDescent="0.35">
      <c r="A643" s="2" t="s">
        <v>569</v>
      </c>
      <c r="B643">
        <v>20.440000000000001</v>
      </c>
      <c r="C643">
        <v>20.62</v>
      </c>
      <c r="D643">
        <v>20.61</v>
      </c>
      <c r="E643">
        <v>20.87</v>
      </c>
      <c r="F643">
        <v>20.81</v>
      </c>
      <c r="G643">
        <v>20.81</v>
      </c>
      <c r="H643">
        <v>20.87</v>
      </c>
      <c r="I643">
        <v>20.9</v>
      </c>
      <c r="J643">
        <v>20.98</v>
      </c>
      <c r="K643">
        <v>20.76</v>
      </c>
      <c r="L643">
        <v>20.82</v>
      </c>
      <c r="M643">
        <v>20.76</v>
      </c>
      <c r="N643">
        <v>20.78</v>
      </c>
      <c r="O643">
        <v>21.21</v>
      </c>
      <c r="P643">
        <v>21.23</v>
      </c>
      <c r="Q643">
        <v>21.12</v>
      </c>
      <c r="R643">
        <v>21.13</v>
      </c>
      <c r="S643">
        <v>21.2</v>
      </c>
      <c r="T643">
        <v>21.12</v>
      </c>
      <c r="U643">
        <v>20.82</v>
      </c>
      <c r="V643">
        <v>21.13</v>
      </c>
      <c r="W643">
        <v>21.18</v>
      </c>
    </row>
    <row r="644" spans="1:23" x14ac:dyDescent="0.35">
      <c r="A644" s="2" t="s">
        <v>570</v>
      </c>
      <c r="B644">
        <v>7.15</v>
      </c>
      <c r="C644">
        <v>7.2</v>
      </c>
      <c r="D644">
        <v>7.1</v>
      </c>
      <c r="E644">
        <v>7.11</v>
      </c>
      <c r="F644">
        <v>7.3</v>
      </c>
      <c r="G644">
        <v>7.25</v>
      </c>
      <c r="H644">
        <v>7.31</v>
      </c>
      <c r="I644">
        <v>7.45</v>
      </c>
      <c r="J644">
        <v>7.47</v>
      </c>
      <c r="K644">
        <v>7.36</v>
      </c>
      <c r="L644">
        <v>7.42</v>
      </c>
      <c r="M644">
        <v>7.5</v>
      </c>
      <c r="N644">
        <v>7.56</v>
      </c>
      <c r="O644">
        <v>7.58</v>
      </c>
      <c r="P644">
        <v>7.58</v>
      </c>
      <c r="Q644">
        <v>7.6</v>
      </c>
      <c r="R644">
        <v>7.62</v>
      </c>
      <c r="S644">
        <v>7.6</v>
      </c>
      <c r="T644">
        <v>7.57</v>
      </c>
      <c r="U644">
        <v>7.52</v>
      </c>
      <c r="V644">
        <v>7.55</v>
      </c>
      <c r="W644">
        <v>7.62</v>
      </c>
    </row>
    <row r="645" spans="1:23" x14ac:dyDescent="0.35">
      <c r="A645" s="2" t="s">
        <v>571</v>
      </c>
      <c r="B645">
        <v>3.26</v>
      </c>
      <c r="C645">
        <v>3.29</v>
      </c>
      <c r="D645">
        <v>3.36</v>
      </c>
      <c r="E645">
        <v>3.34</v>
      </c>
      <c r="F645">
        <v>3.29</v>
      </c>
      <c r="G645">
        <v>3.35</v>
      </c>
      <c r="H645">
        <v>3.38</v>
      </c>
      <c r="I645">
        <v>3.39</v>
      </c>
      <c r="J645">
        <v>3.43</v>
      </c>
      <c r="K645">
        <v>3.42</v>
      </c>
      <c r="L645">
        <v>3.37</v>
      </c>
      <c r="M645">
        <v>3.28</v>
      </c>
      <c r="N645">
        <v>3.31</v>
      </c>
      <c r="O645">
        <v>3.32</v>
      </c>
      <c r="P645">
        <v>3.32</v>
      </c>
      <c r="Q645">
        <v>3.3</v>
      </c>
      <c r="R645">
        <v>3.3</v>
      </c>
      <c r="S645">
        <v>3.28</v>
      </c>
      <c r="T645">
        <v>3.28</v>
      </c>
      <c r="U645">
        <v>3.3</v>
      </c>
      <c r="V645">
        <v>3.29</v>
      </c>
      <c r="W645">
        <v>3.31</v>
      </c>
    </row>
    <row r="646" spans="1:23" x14ac:dyDescent="0.35">
      <c r="A646" s="2" t="s">
        <v>572</v>
      </c>
      <c r="B646">
        <v>10.18</v>
      </c>
      <c r="C646">
        <v>10.39</v>
      </c>
      <c r="D646">
        <v>10.36</v>
      </c>
      <c r="E646">
        <v>10.55</v>
      </c>
      <c r="F646">
        <v>10.56</v>
      </c>
      <c r="G646">
        <v>10.54</v>
      </c>
      <c r="H646">
        <v>10.43</v>
      </c>
      <c r="I646">
        <v>10.220000000000001</v>
      </c>
      <c r="J646">
        <v>10.26</v>
      </c>
      <c r="K646">
        <v>10.26</v>
      </c>
      <c r="L646">
        <v>10.130000000000001</v>
      </c>
      <c r="M646">
        <v>10.14</v>
      </c>
      <c r="N646">
        <v>10.14</v>
      </c>
      <c r="O646">
        <v>10.14</v>
      </c>
      <c r="P646">
        <v>10.48</v>
      </c>
      <c r="Q646">
        <v>10.5</v>
      </c>
      <c r="R646">
        <v>10.54</v>
      </c>
      <c r="S646">
        <v>10.54</v>
      </c>
      <c r="T646">
        <v>10.51</v>
      </c>
      <c r="U646">
        <v>10.58</v>
      </c>
      <c r="V646">
        <v>10.5</v>
      </c>
      <c r="W646">
        <v>10.5</v>
      </c>
    </row>
    <row r="647" spans="1:23" x14ac:dyDescent="0.35">
      <c r="A647" s="2" t="s">
        <v>573</v>
      </c>
      <c r="B647">
        <v>11.03</v>
      </c>
      <c r="C647">
        <v>11.08</v>
      </c>
      <c r="D647">
        <v>11.08</v>
      </c>
      <c r="E647">
        <v>11.24</v>
      </c>
      <c r="F647">
        <v>11.24</v>
      </c>
      <c r="G647">
        <v>11.27</v>
      </c>
      <c r="H647">
        <v>11.3</v>
      </c>
      <c r="I647">
        <v>11.3</v>
      </c>
      <c r="J647">
        <v>11.44</v>
      </c>
      <c r="K647">
        <v>11.44</v>
      </c>
      <c r="L647">
        <v>11.44</v>
      </c>
      <c r="M647">
        <v>11.44</v>
      </c>
      <c r="N647">
        <v>11.45</v>
      </c>
      <c r="O647">
        <v>11.39</v>
      </c>
      <c r="P647">
        <v>11.39</v>
      </c>
      <c r="Q647">
        <v>11.42</v>
      </c>
      <c r="R647">
        <v>11.42</v>
      </c>
      <c r="S647">
        <v>11.51</v>
      </c>
      <c r="T647">
        <v>11.51</v>
      </c>
      <c r="U647">
        <v>11.51</v>
      </c>
      <c r="V647">
        <v>11.51</v>
      </c>
      <c r="W647">
        <v>11.51</v>
      </c>
    </row>
    <row r="648" spans="1:23" x14ac:dyDescent="0.35">
      <c r="A648" s="2" t="s">
        <v>574</v>
      </c>
      <c r="B648">
        <v>0.11</v>
      </c>
      <c r="C648">
        <v>0.11</v>
      </c>
      <c r="D648">
        <v>0.11</v>
      </c>
      <c r="E648">
        <v>0.11</v>
      </c>
      <c r="F648">
        <v>0.11</v>
      </c>
      <c r="G648">
        <v>0.11</v>
      </c>
      <c r="H648">
        <v>0.12</v>
      </c>
      <c r="I648">
        <v>0.12</v>
      </c>
      <c r="J648">
        <v>0.12</v>
      </c>
      <c r="K648">
        <v>0.12</v>
      </c>
      <c r="L648">
        <v>0.12</v>
      </c>
      <c r="M648">
        <v>0.11</v>
      </c>
      <c r="N648">
        <v>0.11</v>
      </c>
      <c r="O648">
        <v>0.11</v>
      </c>
      <c r="P648">
        <v>0.11</v>
      </c>
      <c r="Q648">
        <v>0.11</v>
      </c>
      <c r="R648">
        <v>0.11</v>
      </c>
      <c r="S648">
        <v>0.11</v>
      </c>
      <c r="T648">
        <v>0.12</v>
      </c>
      <c r="U648">
        <v>0.12</v>
      </c>
      <c r="V648">
        <v>0.12</v>
      </c>
      <c r="W648">
        <v>0.12</v>
      </c>
    </row>
    <row r="649" spans="1:23" x14ac:dyDescent="0.35">
      <c r="A649" s="2" t="s">
        <v>575</v>
      </c>
      <c r="B649">
        <v>0.44</v>
      </c>
      <c r="C649">
        <v>0.44</v>
      </c>
      <c r="D649">
        <v>0.45</v>
      </c>
      <c r="E649">
        <v>0.46</v>
      </c>
      <c r="F649">
        <v>0.46</v>
      </c>
      <c r="G649">
        <v>0.46</v>
      </c>
      <c r="H649">
        <v>0.46</v>
      </c>
      <c r="I649">
        <v>0.46</v>
      </c>
      <c r="J649">
        <v>0.47</v>
      </c>
      <c r="K649">
        <v>0.47</v>
      </c>
      <c r="L649">
        <v>0.46</v>
      </c>
      <c r="M649">
        <v>0.46</v>
      </c>
      <c r="N649">
        <v>0.47</v>
      </c>
      <c r="O649">
        <v>0.46</v>
      </c>
      <c r="P649">
        <v>0.47</v>
      </c>
      <c r="Q649">
        <v>0.47</v>
      </c>
      <c r="R649">
        <v>0.47</v>
      </c>
      <c r="S649">
        <v>0.47</v>
      </c>
      <c r="T649">
        <v>0.47</v>
      </c>
      <c r="U649">
        <v>0.47</v>
      </c>
      <c r="V649">
        <v>0.47</v>
      </c>
      <c r="W649">
        <v>0.47</v>
      </c>
    </row>
    <row r="650" spans="1:23" x14ac:dyDescent="0.35">
      <c r="A650" s="2" t="s">
        <v>576</v>
      </c>
      <c r="B650">
        <v>0.04</v>
      </c>
      <c r="C650">
        <v>0.04</v>
      </c>
      <c r="D650">
        <v>0.04</v>
      </c>
      <c r="E650">
        <v>0.04</v>
      </c>
      <c r="F650">
        <v>0.04</v>
      </c>
      <c r="G650">
        <v>0.04</v>
      </c>
      <c r="H650">
        <v>0.04</v>
      </c>
      <c r="I650">
        <v>0.04</v>
      </c>
      <c r="J650">
        <v>0.04</v>
      </c>
      <c r="K650">
        <v>0.04</v>
      </c>
      <c r="L650">
        <v>0.04</v>
      </c>
      <c r="M650">
        <v>0.04</v>
      </c>
      <c r="N650">
        <v>0.04</v>
      </c>
      <c r="O650">
        <v>0.04</v>
      </c>
      <c r="P650">
        <v>0.04</v>
      </c>
      <c r="Q650">
        <v>0.04</v>
      </c>
      <c r="R650">
        <v>0.04</v>
      </c>
      <c r="S650">
        <v>0.04</v>
      </c>
      <c r="T650">
        <v>0.04</v>
      </c>
      <c r="U650">
        <v>0.04</v>
      </c>
      <c r="V650">
        <v>0.04</v>
      </c>
      <c r="W650">
        <v>0.04</v>
      </c>
    </row>
    <row r="651" spans="1:23" x14ac:dyDescent="0.35">
      <c r="A651" s="2" t="s">
        <v>577</v>
      </c>
      <c r="B651">
        <v>0.21</v>
      </c>
      <c r="C651">
        <v>0.21</v>
      </c>
      <c r="D651">
        <v>0.21</v>
      </c>
      <c r="E651">
        <v>0.22</v>
      </c>
      <c r="F651">
        <v>0.22</v>
      </c>
      <c r="G651">
        <v>0.22</v>
      </c>
      <c r="H651">
        <v>0.22</v>
      </c>
      <c r="I651">
        <v>0.22</v>
      </c>
      <c r="J651">
        <v>0.23</v>
      </c>
      <c r="K651">
        <v>0.23</v>
      </c>
      <c r="L651">
        <v>0.23</v>
      </c>
      <c r="M651">
        <v>0.23</v>
      </c>
      <c r="N651">
        <v>0.23</v>
      </c>
      <c r="O651">
        <v>0.23</v>
      </c>
      <c r="P651">
        <v>0.23</v>
      </c>
      <c r="Q651">
        <v>0.23</v>
      </c>
      <c r="R651">
        <v>0.23</v>
      </c>
      <c r="S651">
        <v>0.23</v>
      </c>
      <c r="T651">
        <v>0.23</v>
      </c>
      <c r="U651">
        <v>0.23</v>
      </c>
      <c r="V651">
        <v>0.24</v>
      </c>
      <c r="W651">
        <v>0.24</v>
      </c>
    </row>
    <row r="652" spans="1:23" x14ac:dyDescent="0.35">
      <c r="A652" s="2" t="s">
        <v>578</v>
      </c>
      <c r="B652">
        <v>23.52</v>
      </c>
      <c r="C652">
        <v>23.91</v>
      </c>
      <c r="D652">
        <v>23.98</v>
      </c>
      <c r="E652">
        <v>24.09</v>
      </c>
      <c r="F652">
        <v>24.39</v>
      </c>
      <c r="G652">
        <v>24.3</v>
      </c>
      <c r="H652">
        <v>24.61</v>
      </c>
      <c r="I652">
        <v>24.72</v>
      </c>
      <c r="J652">
        <v>24.8</v>
      </c>
      <c r="K652">
        <v>24.69</v>
      </c>
      <c r="L652">
        <v>25.17</v>
      </c>
      <c r="M652">
        <v>25.37</v>
      </c>
      <c r="N652">
        <v>25.3</v>
      </c>
      <c r="O652">
        <v>25.26</v>
      </c>
      <c r="P652">
        <v>25.28</v>
      </c>
      <c r="Q652">
        <v>25.23</v>
      </c>
      <c r="R652">
        <v>25.23</v>
      </c>
      <c r="S652">
        <v>25.5</v>
      </c>
      <c r="T652">
        <v>25.39</v>
      </c>
      <c r="U652">
        <v>25.23</v>
      </c>
      <c r="V652">
        <v>25.28</v>
      </c>
      <c r="W652">
        <v>25.19</v>
      </c>
    </row>
    <row r="653" spans="1:23" x14ac:dyDescent="0.35">
      <c r="A653" s="2" t="s">
        <v>579</v>
      </c>
      <c r="B653">
        <v>11.78</v>
      </c>
      <c r="C653">
        <v>11.66</v>
      </c>
      <c r="D653">
        <v>11.97</v>
      </c>
      <c r="E653">
        <v>12.18</v>
      </c>
      <c r="F653">
        <v>12</v>
      </c>
      <c r="G653">
        <v>11.9</v>
      </c>
      <c r="H653">
        <v>12.07</v>
      </c>
      <c r="I653">
        <v>11.49</v>
      </c>
      <c r="J653">
        <v>11.56</v>
      </c>
      <c r="K653">
        <v>11.35</v>
      </c>
      <c r="L653">
        <v>11.12</v>
      </c>
      <c r="M653">
        <v>11.23</v>
      </c>
      <c r="N653">
        <v>11.45</v>
      </c>
      <c r="O653">
        <v>11.49</v>
      </c>
      <c r="P653">
        <v>11.37</v>
      </c>
      <c r="Q653">
        <v>11.34</v>
      </c>
      <c r="R653">
        <v>11.4</v>
      </c>
      <c r="S653">
        <v>11.35</v>
      </c>
      <c r="T653">
        <v>11.33</v>
      </c>
      <c r="U653">
        <v>11.33</v>
      </c>
      <c r="V653">
        <v>11.33</v>
      </c>
      <c r="W653">
        <v>11.17</v>
      </c>
    </row>
    <row r="654" spans="1:23" x14ac:dyDescent="0.35">
      <c r="A654" s="2" t="s">
        <v>580</v>
      </c>
      <c r="B654">
        <v>20.66</v>
      </c>
      <c r="C654">
        <v>20.83</v>
      </c>
      <c r="D654">
        <v>21.7</v>
      </c>
      <c r="E654">
        <v>21.7</v>
      </c>
      <c r="F654">
        <v>21.67</v>
      </c>
      <c r="G654">
        <v>22.41</v>
      </c>
      <c r="H654">
        <v>22.35</v>
      </c>
      <c r="I654">
        <v>22.79</v>
      </c>
      <c r="J654">
        <v>22.44</v>
      </c>
      <c r="K654">
        <v>22.02</v>
      </c>
      <c r="L654">
        <v>21.62</v>
      </c>
      <c r="M654">
        <v>22.44</v>
      </c>
      <c r="N654">
        <v>22.44</v>
      </c>
      <c r="O654">
        <v>22.54</v>
      </c>
      <c r="P654">
        <v>23.91</v>
      </c>
      <c r="Q654">
        <v>23.91</v>
      </c>
      <c r="R654">
        <v>23.8</v>
      </c>
      <c r="S654">
        <v>23.83</v>
      </c>
      <c r="T654">
        <v>23.77</v>
      </c>
      <c r="U654">
        <v>24.01</v>
      </c>
      <c r="V654">
        <v>24.01</v>
      </c>
      <c r="W654">
        <v>23.84</v>
      </c>
    </row>
    <row r="655" spans="1:23" x14ac:dyDescent="0.35">
      <c r="A655" s="2" t="s">
        <v>581</v>
      </c>
      <c r="B655">
        <v>3.43</v>
      </c>
      <c r="C655">
        <v>3.5</v>
      </c>
      <c r="D655">
        <v>3.72</v>
      </c>
      <c r="E655">
        <v>3.67</v>
      </c>
      <c r="F655">
        <v>3.41</v>
      </c>
      <c r="G655">
        <v>3.36</v>
      </c>
      <c r="H655">
        <v>3.14</v>
      </c>
      <c r="I655">
        <v>3.14</v>
      </c>
      <c r="J655">
        <v>3.05</v>
      </c>
      <c r="K655">
        <v>3.14</v>
      </c>
      <c r="L655">
        <v>3.33</v>
      </c>
      <c r="M655">
        <v>3.64</v>
      </c>
      <c r="N655">
        <v>3.75</v>
      </c>
      <c r="O655">
        <v>3.68</v>
      </c>
      <c r="P655">
        <v>3.66</v>
      </c>
      <c r="Q655">
        <v>4.07</v>
      </c>
      <c r="R655">
        <v>3.95</v>
      </c>
      <c r="S655">
        <v>3.95</v>
      </c>
      <c r="T655">
        <v>4.01</v>
      </c>
      <c r="U655">
        <v>3.96</v>
      </c>
      <c r="V655">
        <v>3.95</v>
      </c>
      <c r="W655">
        <v>3.78</v>
      </c>
    </row>
    <row r="656" spans="1:23" x14ac:dyDescent="0.35">
      <c r="A656" s="2" t="s">
        <v>861</v>
      </c>
      <c r="B656">
        <v>1.68</v>
      </c>
      <c r="C656">
        <v>1.69</v>
      </c>
      <c r="D656">
        <v>1.7</v>
      </c>
      <c r="E656">
        <v>1.71</v>
      </c>
      <c r="F656">
        <v>1.72</v>
      </c>
      <c r="G656">
        <v>1.73</v>
      </c>
      <c r="H656">
        <v>1.74</v>
      </c>
      <c r="I656">
        <v>1.74</v>
      </c>
      <c r="J656">
        <v>1.77</v>
      </c>
      <c r="K656">
        <v>1.77</v>
      </c>
      <c r="L656">
        <v>1.78</v>
      </c>
      <c r="M656">
        <v>1.77</v>
      </c>
      <c r="N656">
        <v>1.79</v>
      </c>
      <c r="O656">
        <v>1.78</v>
      </c>
      <c r="P656">
        <v>1.78</v>
      </c>
      <c r="Q656">
        <v>1.81</v>
      </c>
      <c r="R656">
        <v>1.82</v>
      </c>
      <c r="S656">
        <v>1.81</v>
      </c>
      <c r="T656">
        <v>1.81</v>
      </c>
      <c r="U656">
        <v>1.81</v>
      </c>
      <c r="V656">
        <v>1.82</v>
      </c>
      <c r="W656">
        <v>1.81</v>
      </c>
    </row>
    <row r="657" spans="1:23" x14ac:dyDescent="0.35">
      <c r="A657" s="2" t="s">
        <v>582</v>
      </c>
      <c r="B657">
        <v>0.45</v>
      </c>
      <c r="C657">
        <v>0.44</v>
      </c>
      <c r="D657">
        <v>0.45</v>
      </c>
      <c r="E657">
        <v>0.45</v>
      </c>
      <c r="F657">
        <v>0.46</v>
      </c>
      <c r="G657">
        <v>0.47</v>
      </c>
      <c r="H657">
        <v>0.46</v>
      </c>
      <c r="I657">
        <v>0.46</v>
      </c>
      <c r="J657">
        <v>0.47</v>
      </c>
      <c r="K657">
        <v>0.46</v>
      </c>
      <c r="L657">
        <v>0.47</v>
      </c>
      <c r="M657">
        <v>0.47</v>
      </c>
      <c r="N657">
        <v>0.47</v>
      </c>
      <c r="O657">
        <v>0.46</v>
      </c>
      <c r="P657">
        <v>0.47</v>
      </c>
      <c r="Q657">
        <v>0.47</v>
      </c>
      <c r="R657">
        <v>0.47</v>
      </c>
      <c r="S657">
        <v>0.47</v>
      </c>
      <c r="T657">
        <v>0.47</v>
      </c>
      <c r="U657">
        <v>0.48</v>
      </c>
      <c r="V657">
        <v>0.48</v>
      </c>
      <c r="W657">
        <v>0.48</v>
      </c>
    </row>
    <row r="658" spans="1:23" x14ac:dyDescent="0.35">
      <c r="A658" s="2" t="s">
        <v>583</v>
      </c>
      <c r="B658">
        <v>7.0000000000000007E-2</v>
      </c>
      <c r="C658">
        <v>7.0000000000000007E-2</v>
      </c>
      <c r="D658">
        <v>7.0000000000000007E-2</v>
      </c>
      <c r="E658">
        <v>7.0000000000000007E-2</v>
      </c>
      <c r="F658">
        <v>0.08</v>
      </c>
      <c r="G658">
        <v>0.08</v>
      </c>
      <c r="H658">
        <v>0.08</v>
      </c>
      <c r="I658">
        <v>0.08</v>
      </c>
      <c r="J658">
        <v>0.08</v>
      </c>
      <c r="K658">
        <v>0.08</v>
      </c>
      <c r="L658">
        <v>0.08</v>
      </c>
      <c r="M658">
        <v>0.08</v>
      </c>
      <c r="N658">
        <v>0.08</v>
      </c>
      <c r="O658">
        <v>0.08</v>
      </c>
      <c r="P658">
        <v>0.08</v>
      </c>
      <c r="Q658">
        <v>0.08</v>
      </c>
      <c r="R658">
        <v>0.08</v>
      </c>
      <c r="S658">
        <v>0.08</v>
      </c>
      <c r="T658">
        <v>0.08</v>
      </c>
      <c r="U658">
        <v>0.08</v>
      </c>
      <c r="V658">
        <v>0.08</v>
      </c>
      <c r="W658">
        <v>0.08</v>
      </c>
    </row>
    <row r="659" spans="1:23" x14ac:dyDescent="0.35">
      <c r="A659" s="2" t="s">
        <v>584</v>
      </c>
      <c r="B659">
        <v>3537.29</v>
      </c>
      <c r="C659">
        <v>3537.29</v>
      </c>
      <c r="D659">
        <v>3609.1</v>
      </c>
      <c r="E659">
        <v>3685.12</v>
      </c>
      <c r="F659">
        <v>3769.59</v>
      </c>
      <c r="G659">
        <v>3832.95</v>
      </c>
      <c r="H659">
        <v>3740.03</v>
      </c>
      <c r="I659">
        <v>3765.37</v>
      </c>
      <c r="J659">
        <v>3714.69</v>
      </c>
      <c r="K659">
        <v>3826.61</v>
      </c>
      <c r="L659">
        <v>3767.48</v>
      </c>
      <c r="M659">
        <v>3651.33</v>
      </c>
      <c r="N659">
        <v>3680.9</v>
      </c>
      <c r="O659">
        <v>3666.11</v>
      </c>
      <c r="P659">
        <v>3699.9</v>
      </c>
      <c r="Q659">
        <v>3754.81</v>
      </c>
      <c r="R659">
        <v>3697.79</v>
      </c>
      <c r="S659">
        <v>3718.91</v>
      </c>
      <c r="T659">
        <v>4048.35</v>
      </c>
      <c r="U659">
        <v>4018.79</v>
      </c>
      <c r="V659">
        <v>3877.3</v>
      </c>
      <c r="W659">
        <v>3913.2</v>
      </c>
    </row>
    <row r="660" spans="1:23" x14ac:dyDescent="0.35">
      <c r="A660" s="2" t="s">
        <v>585</v>
      </c>
      <c r="B660">
        <v>441.65</v>
      </c>
      <c r="C660">
        <v>443.27</v>
      </c>
      <c r="D660">
        <v>452.72</v>
      </c>
      <c r="E660">
        <v>460.01</v>
      </c>
      <c r="F660">
        <v>462.44</v>
      </c>
      <c r="G660">
        <v>459.74</v>
      </c>
      <c r="H660">
        <v>464.6</v>
      </c>
      <c r="I660">
        <v>476.75</v>
      </c>
      <c r="J660">
        <v>481.88</v>
      </c>
      <c r="K660">
        <v>485.39</v>
      </c>
      <c r="L660">
        <v>493.22</v>
      </c>
      <c r="M660">
        <v>501.59</v>
      </c>
      <c r="N660">
        <v>510.49</v>
      </c>
      <c r="O660">
        <v>505.09</v>
      </c>
      <c r="P660">
        <v>495.65</v>
      </c>
      <c r="Q660">
        <v>495.38</v>
      </c>
      <c r="R660">
        <v>494.3</v>
      </c>
      <c r="S660">
        <v>498.08</v>
      </c>
      <c r="T660">
        <v>502.94</v>
      </c>
      <c r="U660">
        <v>508.33</v>
      </c>
      <c r="V660">
        <v>514.54</v>
      </c>
      <c r="W660">
        <v>522.37</v>
      </c>
    </row>
    <row r="661" spans="1:23" x14ac:dyDescent="0.35">
      <c r="A661" s="2" t="s">
        <v>586</v>
      </c>
      <c r="B661">
        <v>161.80000000000001</v>
      </c>
      <c r="C661">
        <v>163.28</v>
      </c>
      <c r="D661">
        <v>168.49</v>
      </c>
      <c r="E661">
        <v>170.36</v>
      </c>
      <c r="F661">
        <v>171.14</v>
      </c>
      <c r="G661">
        <v>168.88</v>
      </c>
      <c r="H661">
        <v>170.65</v>
      </c>
      <c r="I661">
        <v>177.53</v>
      </c>
      <c r="J661">
        <v>178.71</v>
      </c>
      <c r="K661">
        <v>182.15</v>
      </c>
      <c r="L661">
        <v>189.13</v>
      </c>
      <c r="M661">
        <v>194.83</v>
      </c>
      <c r="N661">
        <v>200.44</v>
      </c>
      <c r="O661">
        <v>193.46</v>
      </c>
      <c r="P661">
        <v>183.92</v>
      </c>
      <c r="Q661">
        <v>183.23</v>
      </c>
      <c r="R661">
        <v>181.76</v>
      </c>
      <c r="S661">
        <v>184.12</v>
      </c>
      <c r="T661">
        <v>183.92</v>
      </c>
      <c r="U661">
        <v>185.1</v>
      </c>
      <c r="V661">
        <v>187.46</v>
      </c>
      <c r="W661">
        <v>190.7</v>
      </c>
    </row>
    <row r="662" spans="1:23" x14ac:dyDescent="0.35">
      <c r="A662" s="2" t="s">
        <v>587</v>
      </c>
      <c r="B662">
        <v>27.61</v>
      </c>
      <c r="C662">
        <v>28.49</v>
      </c>
      <c r="D662">
        <v>29.73</v>
      </c>
      <c r="E662">
        <v>31.77</v>
      </c>
      <c r="F662">
        <v>31.98</v>
      </c>
      <c r="G662">
        <v>31.28</v>
      </c>
      <c r="H662">
        <v>32.64</v>
      </c>
      <c r="I662">
        <v>33.75</v>
      </c>
      <c r="J662">
        <v>33.92</v>
      </c>
      <c r="K662">
        <v>32.64</v>
      </c>
      <c r="L662">
        <v>32</v>
      </c>
      <c r="M662">
        <v>32.729999999999997</v>
      </c>
      <c r="N662">
        <v>33.49</v>
      </c>
      <c r="O662">
        <v>33.869999999999997</v>
      </c>
      <c r="P662">
        <v>33.979999999999997</v>
      </c>
      <c r="Q662">
        <v>33.29</v>
      </c>
      <c r="R662">
        <v>32.36</v>
      </c>
      <c r="S662">
        <v>31.91</v>
      </c>
      <c r="T662">
        <v>32.630000000000003</v>
      </c>
      <c r="U662">
        <v>32.78</v>
      </c>
      <c r="V662">
        <v>32.26</v>
      </c>
      <c r="W662">
        <v>32.19</v>
      </c>
    </row>
    <row r="663" spans="1:23" x14ac:dyDescent="0.35">
      <c r="A663" s="2" t="s">
        <v>588</v>
      </c>
      <c r="B663">
        <v>37.58</v>
      </c>
      <c r="C663">
        <v>37.119999999999997</v>
      </c>
      <c r="D663">
        <v>37.69</v>
      </c>
      <c r="E663">
        <v>37.44</v>
      </c>
      <c r="F663">
        <v>36.81</v>
      </c>
      <c r="G663">
        <v>36.65</v>
      </c>
      <c r="H663">
        <v>37.08</v>
      </c>
      <c r="I663">
        <v>37.69</v>
      </c>
      <c r="J663">
        <v>37.06</v>
      </c>
      <c r="K663">
        <v>36.81</v>
      </c>
      <c r="L663">
        <v>36.619999999999997</v>
      </c>
      <c r="M663">
        <v>37.01</v>
      </c>
      <c r="N663">
        <v>37.44</v>
      </c>
      <c r="O663">
        <v>37.619999999999997</v>
      </c>
      <c r="P663">
        <v>38.03</v>
      </c>
      <c r="Q663">
        <v>38.49</v>
      </c>
      <c r="R663">
        <v>37.94</v>
      </c>
      <c r="S663">
        <v>37.83</v>
      </c>
      <c r="T663">
        <v>37.76</v>
      </c>
      <c r="U663">
        <v>39.58</v>
      </c>
      <c r="V663">
        <v>42.53</v>
      </c>
      <c r="W663">
        <v>43.67</v>
      </c>
    </row>
    <row r="664" spans="1:23" x14ac:dyDescent="0.35">
      <c r="A664" s="2" t="s">
        <v>589</v>
      </c>
      <c r="B664">
        <v>352.21</v>
      </c>
      <c r="C664">
        <v>317.44</v>
      </c>
      <c r="D664">
        <v>268.64</v>
      </c>
      <c r="E664">
        <v>278.63</v>
      </c>
      <c r="F664">
        <v>334.6</v>
      </c>
      <c r="G664">
        <v>387.73</v>
      </c>
      <c r="H664">
        <v>338.03</v>
      </c>
      <c r="I664">
        <v>338.63</v>
      </c>
      <c r="J664">
        <v>372.06</v>
      </c>
      <c r="K664">
        <v>417.13</v>
      </c>
      <c r="L664">
        <v>347.44</v>
      </c>
      <c r="M664">
        <v>267.29000000000002</v>
      </c>
      <c r="N664">
        <v>258.19</v>
      </c>
      <c r="O664">
        <v>248.94</v>
      </c>
      <c r="P664">
        <v>262.22000000000003</v>
      </c>
      <c r="Q664">
        <v>274.45999999999998</v>
      </c>
      <c r="R664">
        <v>266.10000000000002</v>
      </c>
      <c r="S664">
        <v>304.16000000000003</v>
      </c>
      <c r="T664">
        <v>566.52</v>
      </c>
      <c r="U664">
        <v>502.65</v>
      </c>
      <c r="V664">
        <v>311.47000000000003</v>
      </c>
      <c r="W664">
        <v>330.72</v>
      </c>
    </row>
    <row r="665" spans="1:23" x14ac:dyDescent="0.35">
      <c r="A665" s="2" t="s">
        <v>590</v>
      </c>
      <c r="B665">
        <v>1.65</v>
      </c>
      <c r="C665">
        <v>1.6</v>
      </c>
      <c r="D665">
        <v>1.84</v>
      </c>
      <c r="E665">
        <v>2.04</v>
      </c>
      <c r="F665">
        <v>2.0499999999999998</v>
      </c>
      <c r="G665">
        <v>2.0499999999999998</v>
      </c>
      <c r="H665">
        <v>2.0499999999999998</v>
      </c>
      <c r="I665">
        <v>2.0499999999999998</v>
      </c>
      <c r="J665">
        <v>2.0499999999999998</v>
      </c>
      <c r="K665">
        <v>2.0499999999999998</v>
      </c>
      <c r="L665">
        <v>1.96</v>
      </c>
      <c r="M665">
        <v>1.54</v>
      </c>
      <c r="N665">
        <v>1.49</v>
      </c>
      <c r="O665">
        <v>1.79</v>
      </c>
      <c r="P665">
        <v>1.83</v>
      </c>
      <c r="Q665">
        <v>1.81</v>
      </c>
      <c r="R665">
        <v>1.81</v>
      </c>
      <c r="S665">
        <v>1.81</v>
      </c>
      <c r="T665">
        <v>1.81</v>
      </c>
      <c r="U665">
        <v>1.81</v>
      </c>
      <c r="V665">
        <v>1.81</v>
      </c>
      <c r="W665">
        <v>1.81</v>
      </c>
    </row>
    <row r="666" spans="1:23" x14ac:dyDescent="0.35">
      <c r="A666" s="2" t="s">
        <v>591</v>
      </c>
      <c r="B666">
        <v>59.97</v>
      </c>
      <c r="C666">
        <v>60.27</v>
      </c>
      <c r="D666">
        <v>49.38</v>
      </c>
      <c r="E666">
        <v>35.58</v>
      </c>
      <c r="F666">
        <v>31.47</v>
      </c>
      <c r="G666">
        <v>34.090000000000003</v>
      </c>
      <c r="H666">
        <v>38.97</v>
      </c>
      <c r="I666">
        <v>39.4</v>
      </c>
      <c r="J666">
        <v>39.35</v>
      </c>
      <c r="K666">
        <v>46.33</v>
      </c>
      <c r="L666">
        <v>52.9</v>
      </c>
      <c r="M666">
        <v>43.89</v>
      </c>
      <c r="N666">
        <v>45.29</v>
      </c>
      <c r="O666">
        <v>36.03</v>
      </c>
      <c r="P666">
        <v>31.2</v>
      </c>
      <c r="Q666">
        <v>28.96</v>
      </c>
      <c r="R666">
        <v>29.19</v>
      </c>
      <c r="S666">
        <v>32.619999999999997</v>
      </c>
      <c r="T666">
        <v>41.63</v>
      </c>
      <c r="U666">
        <v>52.84</v>
      </c>
      <c r="V666">
        <v>61.42</v>
      </c>
      <c r="W666">
        <v>77.569999999999993</v>
      </c>
    </row>
    <row r="667" spans="1:23" x14ac:dyDescent="0.35">
      <c r="A667" s="2" t="s">
        <v>592</v>
      </c>
      <c r="B667">
        <v>3.17</v>
      </c>
      <c r="C667">
        <v>3.08</v>
      </c>
      <c r="D667">
        <v>3.7</v>
      </c>
      <c r="E667">
        <v>3.8</v>
      </c>
      <c r="F667">
        <v>3.86</v>
      </c>
      <c r="G667">
        <v>3.93</v>
      </c>
      <c r="H667">
        <v>4.51</v>
      </c>
      <c r="I667">
        <v>4.53</v>
      </c>
      <c r="J667">
        <v>4.8600000000000003</v>
      </c>
      <c r="K667">
        <v>4.95</v>
      </c>
      <c r="L667">
        <v>4.87</v>
      </c>
      <c r="M667">
        <v>4.9800000000000004</v>
      </c>
      <c r="N667">
        <v>5.29</v>
      </c>
      <c r="O667">
        <v>5.56</v>
      </c>
      <c r="P667">
        <v>6.33</v>
      </c>
      <c r="Q667">
        <v>8.3699999999999992</v>
      </c>
      <c r="R667">
        <v>12.4</v>
      </c>
      <c r="S667">
        <v>15.35</v>
      </c>
      <c r="T667">
        <v>18.010000000000002</v>
      </c>
      <c r="U667">
        <v>17.649999999999999</v>
      </c>
      <c r="V667">
        <v>15.69</v>
      </c>
      <c r="W667">
        <v>14.15</v>
      </c>
    </row>
    <row r="668" spans="1:23" x14ac:dyDescent="0.35">
      <c r="A668" s="2" t="s">
        <v>593</v>
      </c>
      <c r="B668">
        <v>60.02</v>
      </c>
      <c r="C668">
        <v>42.7</v>
      </c>
      <c r="D668">
        <v>35.659999999999997</v>
      </c>
      <c r="E668">
        <v>44.88</v>
      </c>
      <c r="F668">
        <v>92.82</v>
      </c>
      <c r="G668">
        <v>121.73</v>
      </c>
      <c r="H668">
        <v>66.400000000000006</v>
      </c>
      <c r="I668">
        <v>54.96</v>
      </c>
      <c r="J668">
        <v>77.95</v>
      </c>
      <c r="K668">
        <v>96.23</v>
      </c>
      <c r="L668">
        <v>58.65</v>
      </c>
      <c r="M668">
        <v>40</v>
      </c>
      <c r="N668">
        <v>35.71</v>
      </c>
      <c r="O668">
        <v>36.92</v>
      </c>
      <c r="P668">
        <v>42.04</v>
      </c>
      <c r="Q668">
        <v>38.19</v>
      </c>
      <c r="R668">
        <v>35.159999999999997</v>
      </c>
      <c r="S668">
        <v>54.87</v>
      </c>
      <c r="T668">
        <v>229.59</v>
      </c>
      <c r="U668">
        <v>179.06</v>
      </c>
      <c r="V668">
        <v>48.29</v>
      </c>
      <c r="W668">
        <v>41.78</v>
      </c>
    </row>
    <row r="669" spans="1:23" x14ac:dyDescent="0.35">
      <c r="A669" s="2" t="s">
        <v>594</v>
      </c>
      <c r="B669">
        <v>4.78</v>
      </c>
      <c r="C669">
        <v>4.5999999999999996</v>
      </c>
      <c r="D669">
        <v>3.81</v>
      </c>
      <c r="E669">
        <v>3.5</v>
      </c>
      <c r="F669">
        <v>2.42</v>
      </c>
      <c r="G669">
        <v>2.59</v>
      </c>
      <c r="H669">
        <v>2.62</v>
      </c>
      <c r="I669">
        <v>2.93</v>
      </c>
      <c r="J669">
        <v>3.03</v>
      </c>
      <c r="K669">
        <v>3.07</v>
      </c>
      <c r="L669">
        <v>3.15</v>
      </c>
      <c r="M669">
        <v>3.23</v>
      </c>
      <c r="N669">
        <v>3.7</v>
      </c>
      <c r="O669">
        <v>4.18</v>
      </c>
      <c r="P669">
        <v>4.2699999999999996</v>
      </c>
      <c r="Q669">
        <v>3.88</v>
      </c>
      <c r="R669">
        <v>3.41</v>
      </c>
      <c r="S669">
        <v>3.2</v>
      </c>
      <c r="T669">
        <v>3.9</v>
      </c>
      <c r="U669">
        <v>3.58</v>
      </c>
      <c r="V669">
        <v>2.68</v>
      </c>
      <c r="W669">
        <v>3.05</v>
      </c>
    </row>
    <row r="670" spans="1:23" x14ac:dyDescent="0.35">
      <c r="A670" s="2" t="s">
        <v>595</v>
      </c>
      <c r="B670">
        <v>24.04</v>
      </c>
      <c r="C670">
        <v>23.65</v>
      </c>
      <c r="D670">
        <v>23.48</v>
      </c>
      <c r="E670">
        <v>24.93</v>
      </c>
      <c r="F670">
        <v>19.73</v>
      </c>
      <c r="G670">
        <v>19.329999999999998</v>
      </c>
      <c r="H670">
        <v>18.95</v>
      </c>
      <c r="I670">
        <v>19.38</v>
      </c>
      <c r="J670">
        <v>19.18</v>
      </c>
      <c r="K670">
        <v>19.52</v>
      </c>
      <c r="L670">
        <v>20.149999999999999</v>
      </c>
      <c r="M670">
        <v>20.27</v>
      </c>
      <c r="N670">
        <v>20.84</v>
      </c>
      <c r="O670">
        <v>20.38</v>
      </c>
      <c r="P670">
        <v>20.29</v>
      </c>
      <c r="Q670">
        <v>19.84</v>
      </c>
      <c r="R670">
        <v>19.670000000000002</v>
      </c>
      <c r="S670">
        <v>19.36</v>
      </c>
      <c r="T670">
        <v>18.850000000000001</v>
      </c>
      <c r="U670">
        <v>19</v>
      </c>
      <c r="V670">
        <v>18.95</v>
      </c>
      <c r="W670">
        <v>19.559999999999999</v>
      </c>
    </row>
    <row r="671" spans="1:23" x14ac:dyDescent="0.35">
      <c r="A671" s="2" t="s">
        <v>596</v>
      </c>
      <c r="B671">
        <v>8.64</v>
      </c>
      <c r="C671">
        <v>9.36</v>
      </c>
      <c r="D671">
        <v>9.73</v>
      </c>
      <c r="E671">
        <v>10.94</v>
      </c>
      <c r="F671">
        <v>9.39</v>
      </c>
      <c r="G671">
        <v>9.65</v>
      </c>
      <c r="H671">
        <v>12.01</v>
      </c>
      <c r="I671">
        <v>14.14</v>
      </c>
      <c r="J671">
        <v>11.74</v>
      </c>
      <c r="K671">
        <v>12.73</v>
      </c>
      <c r="L671">
        <v>16.14</v>
      </c>
      <c r="M671">
        <v>14.58</v>
      </c>
      <c r="N671">
        <v>13.3</v>
      </c>
      <c r="O671">
        <v>13.75</v>
      </c>
      <c r="P671">
        <v>13.85</v>
      </c>
      <c r="Q671">
        <v>13.46</v>
      </c>
      <c r="R671">
        <v>11.73</v>
      </c>
      <c r="S671">
        <v>12</v>
      </c>
      <c r="T671">
        <v>12.79</v>
      </c>
      <c r="U671">
        <v>13.41</v>
      </c>
      <c r="V671">
        <v>14.39</v>
      </c>
      <c r="W671">
        <v>14.16</v>
      </c>
    </row>
    <row r="672" spans="1:23" x14ac:dyDescent="0.35">
      <c r="A672" s="2" t="s">
        <v>597</v>
      </c>
      <c r="B672">
        <v>6.41</v>
      </c>
      <c r="C672">
        <v>6.57</v>
      </c>
      <c r="D672">
        <v>6.52</v>
      </c>
      <c r="E672">
        <v>6.52</v>
      </c>
      <c r="F672">
        <v>6.51</v>
      </c>
      <c r="G672">
        <v>6.28</v>
      </c>
      <c r="H672">
        <v>6.04</v>
      </c>
      <c r="I672">
        <v>5.98</v>
      </c>
      <c r="J672">
        <v>5.92</v>
      </c>
      <c r="K672">
        <v>6.03</v>
      </c>
      <c r="L672">
        <v>6.16</v>
      </c>
      <c r="M672">
        <v>6.21</v>
      </c>
      <c r="N672">
        <v>6.15</v>
      </c>
      <c r="O672">
        <v>6.11</v>
      </c>
      <c r="P672">
        <v>6.1</v>
      </c>
      <c r="Q672">
        <v>6.08</v>
      </c>
      <c r="R672">
        <v>6.16</v>
      </c>
      <c r="S672">
        <v>6.29</v>
      </c>
      <c r="T672">
        <v>6.32</v>
      </c>
      <c r="U672">
        <v>6.35</v>
      </c>
      <c r="V672">
        <v>6.36</v>
      </c>
      <c r="W672">
        <v>6.29</v>
      </c>
    </row>
    <row r="673" spans="1:23" x14ac:dyDescent="0.35">
      <c r="A673" s="2" t="s">
        <v>598</v>
      </c>
      <c r="B673">
        <v>664.94</v>
      </c>
      <c r="C673">
        <v>666.63</v>
      </c>
      <c r="D673">
        <v>682.69</v>
      </c>
      <c r="E673">
        <v>689.87</v>
      </c>
      <c r="F673">
        <v>692.4</v>
      </c>
      <c r="G673">
        <v>693.67</v>
      </c>
      <c r="H673">
        <v>694.51</v>
      </c>
      <c r="I673">
        <v>699.16</v>
      </c>
      <c r="J673">
        <v>699.16</v>
      </c>
      <c r="K673">
        <v>704.23</v>
      </c>
      <c r="L673">
        <v>706.77</v>
      </c>
      <c r="M673">
        <v>717.75</v>
      </c>
      <c r="N673">
        <v>730.42</v>
      </c>
      <c r="O673">
        <v>735.49</v>
      </c>
      <c r="P673">
        <v>740.56</v>
      </c>
      <c r="Q673">
        <v>746.48</v>
      </c>
      <c r="R673">
        <v>749.01</v>
      </c>
      <c r="S673">
        <v>753.24</v>
      </c>
      <c r="T673">
        <v>751.55</v>
      </c>
      <c r="U673">
        <v>758.73</v>
      </c>
      <c r="V673">
        <v>760.42</v>
      </c>
      <c r="W673">
        <v>761.26</v>
      </c>
    </row>
    <row r="674" spans="1:23" x14ac:dyDescent="0.35">
      <c r="A674" s="2" t="s">
        <v>599</v>
      </c>
      <c r="B674">
        <v>105.58</v>
      </c>
      <c r="C674">
        <v>106.71</v>
      </c>
      <c r="D674">
        <v>108.34</v>
      </c>
      <c r="E674">
        <v>108.9</v>
      </c>
      <c r="F674">
        <v>111.47</v>
      </c>
      <c r="G674">
        <v>111.47</v>
      </c>
      <c r="H674">
        <v>114.61</v>
      </c>
      <c r="I674">
        <v>117.17</v>
      </c>
      <c r="J674">
        <v>119.81</v>
      </c>
      <c r="K674">
        <v>119.81</v>
      </c>
      <c r="L674">
        <v>120.87</v>
      </c>
      <c r="M674">
        <v>119.99</v>
      </c>
      <c r="N674">
        <v>122.63</v>
      </c>
      <c r="O674">
        <v>120.18</v>
      </c>
      <c r="P674">
        <v>120.87</v>
      </c>
      <c r="Q674">
        <v>123.88</v>
      </c>
      <c r="R674">
        <v>127.51</v>
      </c>
      <c r="S674">
        <v>131.4</v>
      </c>
      <c r="T674">
        <v>146.94</v>
      </c>
      <c r="U674">
        <v>157.72</v>
      </c>
      <c r="V674">
        <v>159.16</v>
      </c>
      <c r="W674">
        <v>157.09</v>
      </c>
    </row>
    <row r="675" spans="1:23" x14ac:dyDescent="0.35">
      <c r="A675" s="2" t="s">
        <v>600</v>
      </c>
      <c r="B675">
        <v>30.28</v>
      </c>
      <c r="C675">
        <v>31.19</v>
      </c>
      <c r="D675">
        <v>32.99</v>
      </c>
      <c r="E675">
        <v>32.64</v>
      </c>
      <c r="F675">
        <v>34.299999999999997</v>
      </c>
      <c r="G675">
        <v>34.659999999999997</v>
      </c>
      <c r="H675">
        <v>37.07</v>
      </c>
      <c r="I675">
        <v>38.86</v>
      </c>
      <c r="J675">
        <v>41.31</v>
      </c>
      <c r="K675">
        <v>41.09</v>
      </c>
      <c r="L675">
        <v>42.7</v>
      </c>
      <c r="M675">
        <v>41.37</v>
      </c>
      <c r="N675">
        <v>41.24</v>
      </c>
      <c r="O675">
        <v>38.94</v>
      </c>
      <c r="P675">
        <v>38.979999999999997</v>
      </c>
      <c r="Q675">
        <v>39.770000000000003</v>
      </c>
      <c r="R675">
        <v>39.47</v>
      </c>
      <c r="S675">
        <v>39.49</v>
      </c>
      <c r="T675">
        <v>40.42</v>
      </c>
      <c r="U675">
        <v>40.43</v>
      </c>
      <c r="V675">
        <v>40.17</v>
      </c>
      <c r="W675">
        <v>39.409999999999997</v>
      </c>
    </row>
    <row r="676" spans="1:23" x14ac:dyDescent="0.35">
      <c r="A676" s="2" t="s">
        <v>601</v>
      </c>
      <c r="B676">
        <v>22.62</v>
      </c>
      <c r="C676">
        <v>21.6</v>
      </c>
      <c r="D676">
        <v>21.14</v>
      </c>
      <c r="E676">
        <v>21.56</v>
      </c>
      <c r="F676">
        <v>21.49</v>
      </c>
      <c r="G676">
        <v>21.44</v>
      </c>
      <c r="H676">
        <v>21.49</v>
      </c>
      <c r="I676">
        <v>21.98</v>
      </c>
      <c r="J676">
        <v>22.83</v>
      </c>
      <c r="K676">
        <v>23.3</v>
      </c>
      <c r="L676">
        <v>22.07</v>
      </c>
      <c r="M676">
        <v>21.2</v>
      </c>
      <c r="N676">
        <v>21.73</v>
      </c>
      <c r="O676">
        <v>21.53</v>
      </c>
      <c r="P676">
        <v>21.2</v>
      </c>
      <c r="Q676">
        <v>21.2</v>
      </c>
      <c r="R676">
        <v>21.7</v>
      </c>
      <c r="S676">
        <v>22.07</v>
      </c>
      <c r="T676">
        <v>22.49</v>
      </c>
      <c r="U676">
        <v>23.05</v>
      </c>
      <c r="V676">
        <v>22.58</v>
      </c>
      <c r="W676">
        <v>22.5</v>
      </c>
    </row>
    <row r="677" spans="1:23" x14ac:dyDescent="0.35">
      <c r="A677" s="2" t="s">
        <v>602</v>
      </c>
      <c r="B677">
        <v>635.07000000000005</v>
      </c>
      <c r="C677">
        <v>651.53</v>
      </c>
      <c r="D677">
        <v>669.9</v>
      </c>
      <c r="E677">
        <v>679.47</v>
      </c>
      <c r="F677">
        <v>688.66</v>
      </c>
      <c r="G677">
        <v>673.35</v>
      </c>
      <c r="H677">
        <v>657.65</v>
      </c>
      <c r="I677">
        <v>670.28</v>
      </c>
      <c r="J677">
        <v>643.87</v>
      </c>
      <c r="K677">
        <v>635.45000000000005</v>
      </c>
      <c r="L677">
        <v>646.16999999999996</v>
      </c>
      <c r="M677">
        <v>655.36</v>
      </c>
      <c r="N677">
        <v>664.93</v>
      </c>
      <c r="O677">
        <v>651.53</v>
      </c>
      <c r="P677">
        <v>639.66</v>
      </c>
      <c r="Q677">
        <v>633.91999999999996</v>
      </c>
      <c r="R677">
        <v>623.20000000000005</v>
      </c>
      <c r="S677">
        <v>608.27</v>
      </c>
      <c r="T677">
        <v>619.76</v>
      </c>
      <c r="U677">
        <v>624.73</v>
      </c>
      <c r="V677">
        <v>630.09</v>
      </c>
      <c r="W677">
        <v>628.17999999999995</v>
      </c>
    </row>
    <row r="678" spans="1:23" x14ac:dyDescent="0.35">
      <c r="A678" s="2" t="s">
        <v>603</v>
      </c>
      <c r="B678">
        <v>1.85</v>
      </c>
      <c r="C678">
        <v>1.82</v>
      </c>
      <c r="D678">
        <v>1.86</v>
      </c>
      <c r="E678">
        <v>1.9</v>
      </c>
      <c r="F678">
        <v>1.86</v>
      </c>
      <c r="G678">
        <v>1.86</v>
      </c>
      <c r="H678">
        <v>1.86</v>
      </c>
      <c r="I678">
        <v>1.88</v>
      </c>
      <c r="J678">
        <v>1.87</v>
      </c>
      <c r="K678">
        <v>1.83</v>
      </c>
      <c r="L678">
        <v>1.81</v>
      </c>
      <c r="M678">
        <v>1.79</v>
      </c>
      <c r="N678">
        <v>1.78</v>
      </c>
      <c r="O678">
        <v>1.81</v>
      </c>
      <c r="P678">
        <v>1.79</v>
      </c>
      <c r="Q678">
        <v>1.79</v>
      </c>
      <c r="R678">
        <v>1.8</v>
      </c>
      <c r="S678">
        <v>1.81</v>
      </c>
      <c r="T678">
        <v>1.85</v>
      </c>
      <c r="U678">
        <v>1.87</v>
      </c>
      <c r="V678">
        <v>1.88</v>
      </c>
      <c r="W678">
        <v>1.86</v>
      </c>
    </row>
    <row r="679" spans="1:23" x14ac:dyDescent="0.35">
      <c r="A679" s="2" t="s">
        <v>604</v>
      </c>
      <c r="B679">
        <v>203.91</v>
      </c>
      <c r="C679">
        <v>208.36</v>
      </c>
      <c r="D679">
        <v>219.19</v>
      </c>
      <c r="E679">
        <v>219.77</v>
      </c>
      <c r="F679">
        <v>216.39</v>
      </c>
      <c r="G679">
        <v>210.39</v>
      </c>
      <c r="H679">
        <v>201.3</v>
      </c>
      <c r="I679">
        <v>200.52</v>
      </c>
      <c r="J679">
        <v>189.69</v>
      </c>
      <c r="K679">
        <v>182.82</v>
      </c>
      <c r="L679">
        <v>193.17</v>
      </c>
      <c r="M679">
        <v>193.17</v>
      </c>
      <c r="N679">
        <v>195.01</v>
      </c>
      <c r="O679">
        <v>192.98</v>
      </c>
      <c r="P679">
        <v>186.21</v>
      </c>
      <c r="Q679">
        <v>185.53</v>
      </c>
      <c r="R679">
        <v>182.63</v>
      </c>
      <c r="S679">
        <v>180.11</v>
      </c>
      <c r="T679">
        <v>181.66</v>
      </c>
      <c r="U679">
        <v>181.66</v>
      </c>
      <c r="V679">
        <v>179.43</v>
      </c>
      <c r="W679">
        <v>175.86</v>
      </c>
    </row>
    <row r="680" spans="1:23" x14ac:dyDescent="0.35">
      <c r="A680" s="2" t="s">
        <v>605</v>
      </c>
      <c r="B680">
        <v>45.81</v>
      </c>
      <c r="C680">
        <v>45.77</v>
      </c>
      <c r="D680">
        <v>44.57</v>
      </c>
      <c r="E680">
        <v>44.02</v>
      </c>
      <c r="F680">
        <v>44.55</v>
      </c>
      <c r="G680">
        <v>43.53</v>
      </c>
      <c r="H680">
        <v>43.11</v>
      </c>
      <c r="I680">
        <v>42.6</v>
      </c>
      <c r="J680">
        <v>41.88</v>
      </c>
      <c r="K680">
        <v>41.71</v>
      </c>
      <c r="L680">
        <v>42.66</v>
      </c>
      <c r="M680">
        <v>42.12</v>
      </c>
      <c r="N680">
        <v>41.46</v>
      </c>
      <c r="O680">
        <v>39.28</v>
      </c>
      <c r="P680">
        <v>37.229999999999997</v>
      </c>
      <c r="Q680">
        <v>36.28</v>
      </c>
      <c r="R680">
        <v>35.4</v>
      </c>
      <c r="S680">
        <v>34.229999999999997</v>
      </c>
      <c r="T680">
        <v>34.61</v>
      </c>
      <c r="U680">
        <v>35.119999999999997</v>
      </c>
      <c r="V680">
        <v>34.97</v>
      </c>
      <c r="W680">
        <v>35.08</v>
      </c>
    </row>
    <row r="681" spans="1:23" x14ac:dyDescent="0.35">
      <c r="A681" s="2" t="s">
        <v>606</v>
      </c>
      <c r="B681">
        <v>1.4</v>
      </c>
      <c r="C681">
        <v>1.38</v>
      </c>
      <c r="D681">
        <v>1.45</v>
      </c>
      <c r="E681">
        <v>1.42</v>
      </c>
      <c r="F681">
        <v>1.42</v>
      </c>
      <c r="G681">
        <v>1.34</v>
      </c>
      <c r="H681">
        <v>1.31</v>
      </c>
      <c r="I681">
        <v>1.32</v>
      </c>
      <c r="J681">
        <v>1.37</v>
      </c>
      <c r="K681">
        <v>1.33</v>
      </c>
      <c r="L681">
        <v>1.34</v>
      </c>
      <c r="M681">
        <v>1.27</v>
      </c>
      <c r="N681">
        <v>1.23</v>
      </c>
      <c r="O681">
        <v>1.23</v>
      </c>
      <c r="P681">
        <v>1.1200000000000001</v>
      </c>
      <c r="Q681">
        <v>1</v>
      </c>
      <c r="R681">
        <v>0.98</v>
      </c>
      <c r="S681">
        <v>0.99</v>
      </c>
      <c r="T681">
        <v>0.98</v>
      </c>
      <c r="U681">
        <v>1.03</v>
      </c>
      <c r="V681">
        <v>1</v>
      </c>
      <c r="W681">
        <v>1</v>
      </c>
    </row>
    <row r="682" spans="1:23" x14ac:dyDescent="0.35">
      <c r="A682" s="2" t="s">
        <v>607</v>
      </c>
      <c r="B682">
        <v>5.79</v>
      </c>
      <c r="C682">
        <v>5.66</v>
      </c>
      <c r="D682">
        <v>5.88</v>
      </c>
      <c r="E682">
        <v>6.21</v>
      </c>
      <c r="F682">
        <v>6.47</v>
      </c>
      <c r="G682">
        <v>6.48</v>
      </c>
      <c r="H682">
        <v>6.44</v>
      </c>
      <c r="I682">
        <v>6.1</v>
      </c>
      <c r="J682">
        <v>5.26</v>
      </c>
      <c r="K682">
        <v>5.34</v>
      </c>
      <c r="L682">
        <v>5.05</v>
      </c>
      <c r="M682">
        <v>4.97</v>
      </c>
      <c r="N682">
        <v>5.4</v>
      </c>
      <c r="O682">
        <v>5.44</v>
      </c>
      <c r="P682">
        <v>5.48</v>
      </c>
      <c r="Q682">
        <v>5.32</v>
      </c>
      <c r="R682">
        <v>4.72</v>
      </c>
      <c r="S682">
        <v>4.9800000000000004</v>
      </c>
      <c r="T682">
        <v>4.67</v>
      </c>
      <c r="U682">
        <v>4.5999999999999996</v>
      </c>
      <c r="V682">
        <v>4.5999999999999996</v>
      </c>
      <c r="W682">
        <v>4.63</v>
      </c>
    </row>
    <row r="683" spans="1:23" x14ac:dyDescent="0.35">
      <c r="A683" s="2" t="s">
        <v>608</v>
      </c>
      <c r="B683">
        <v>35.31</v>
      </c>
      <c r="C683">
        <v>35.409999999999997</v>
      </c>
      <c r="D683">
        <v>36.51</v>
      </c>
      <c r="E683">
        <v>36.11</v>
      </c>
      <c r="F683">
        <v>36.4</v>
      </c>
      <c r="G683">
        <v>37.78</v>
      </c>
      <c r="H683">
        <v>39.590000000000003</v>
      </c>
      <c r="I683">
        <v>40.01</v>
      </c>
      <c r="J683">
        <v>40.01</v>
      </c>
      <c r="K683">
        <v>39.950000000000003</v>
      </c>
      <c r="L683">
        <v>40.74</v>
      </c>
      <c r="M683">
        <v>40.82</v>
      </c>
      <c r="N683">
        <v>42.07</v>
      </c>
      <c r="O683">
        <v>41.66</v>
      </c>
      <c r="P683">
        <v>41.5</v>
      </c>
      <c r="Q683">
        <v>42.25</v>
      </c>
      <c r="R683">
        <v>40.97</v>
      </c>
      <c r="S683">
        <v>41.63</v>
      </c>
      <c r="T683">
        <v>42.13</v>
      </c>
      <c r="U683">
        <v>42.67</v>
      </c>
      <c r="V683">
        <v>47.32</v>
      </c>
      <c r="W683">
        <v>45.24</v>
      </c>
    </row>
    <row r="684" spans="1:23" x14ac:dyDescent="0.35">
      <c r="A684" s="2" t="s">
        <v>609</v>
      </c>
      <c r="B684">
        <v>0.08</v>
      </c>
      <c r="C684">
        <v>0.08</v>
      </c>
      <c r="D684">
        <v>0.08</v>
      </c>
      <c r="E684">
        <v>0.08</v>
      </c>
      <c r="F684">
        <v>0.08</v>
      </c>
      <c r="G684">
        <v>0.08</v>
      </c>
      <c r="H684">
        <v>0.08</v>
      </c>
      <c r="I684">
        <v>0.08</v>
      </c>
      <c r="J684">
        <v>0.08</v>
      </c>
      <c r="K684">
        <v>0.08</v>
      </c>
      <c r="L684">
        <v>0.08</v>
      </c>
      <c r="M684">
        <v>0.08</v>
      </c>
      <c r="N684">
        <v>0.08</v>
      </c>
      <c r="O684">
        <v>0.08</v>
      </c>
      <c r="P684">
        <v>0.08</v>
      </c>
      <c r="Q684">
        <v>0.08</v>
      </c>
      <c r="R684">
        <v>0.08</v>
      </c>
      <c r="S684">
        <v>0.08</v>
      </c>
      <c r="T684">
        <v>0.08</v>
      </c>
      <c r="U684">
        <v>0.08</v>
      </c>
      <c r="V684">
        <v>0.08</v>
      </c>
      <c r="W684">
        <v>0.08</v>
      </c>
    </row>
    <row r="685" spans="1:23" x14ac:dyDescent="0.35">
      <c r="A685" s="2" t="s">
        <v>610</v>
      </c>
      <c r="B685">
        <v>277.38</v>
      </c>
      <c r="C685">
        <v>277.38</v>
      </c>
      <c r="D685">
        <v>277.38</v>
      </c>
      <c r="E685">
        <v>277.38</v>
      </c>
      <c r="F685">
        <v>277.38</v>
      </c>
      <c r="G685">
        <v>277.38</v>
      </c>
      <c r="H685">
        <v>277.38</v>
      </c>
      <c r="I685">
        <v>284.58999999999997</v>
      </c>
      <c r="J685">
        <v>284.58999999999997</v>
      </c>
      <c r="K685">
        <v>284.58999999999997</v>
      </c>
      <c r="L685">
        <v>284.58999999999997</v>
      </c>
      <c r="M685">
        <v>284.58999999999997</v>
      </c>
      <c r="N685">
        <v>284.58999999999997</v>
      </c>
      <c r="O685">
        <v>287.33999999999997</v>
      </c>
      <c r="P685">
        <v>286.27999999999997</v>
      </c>
      <c r="Q685">
        <v>287.13</v>
      </c>
      <c r="R685">
        <v>284.38</v>
      </c>
      <c r="S685">
        <v>291.58</v>
      </c>
      <c r="T685">
        <v>291.58</v>
      </c>
      <c r="U685">
        <v>291.58</v>
      </c>
      <c r="V685">
        <v>289.68</v>
      </c>
      <c r="W685">
        <v>289.68</v>
      </c>
    </row>
    <row r="686" spans="1:23" x14ac:dyDescent="0.35">
      <c r="A686" s="2" t="s">
        <v>611</v>
      </c>
      <c r="B686">
        <v>92.78</v>
      </c>
      <c r="C686">
        <v>92.78</v>
      </c>
      <c r="D686">
        <v>92.78</v>
      </c>
      <c r="E686">
        <v>92.78</v>
      </c>
      <c r="F686">
        <v>92.78</v>
      </c>
      <c r="G686">
        <v>92.78</v>
      </c>
      <c r="H686">
        <v>92.78</v>
      </c>
      <c r="I686">
        <v>92.78</v>
      </c>
      <c r="J686">
        <v>92.78</v>
      </c>
      <c r="K686">
        <v>92.78</v>
      </c>
      <c r="L686">
        <v>92.78</v>
      </c>
      <c r="M686">
        <v>92.78</v>
      </c>
      <c r="N686">
        <v>92.78</v>
      </c>
      <c r="O686">
        <v>92.78</v>
      </c>
      <c r="P686">
        <v>92.78</v>
      </c>
      <c r="Q686">
        <v>92.78</v>
      </c>
      <c r="R686">
        <v>92.78</v>
      </c>
      <c r="S686">
        <v>92.78</v>
      </c>
      <c r="T686">
        <v>92.78</v>
      </c>
      <c r="U686">
        <v>92.78</v>
      </c>
      <c r="V686">
        <v>92.78</v>
      </c>
      <c r="W686">
        <v>92.78</v>
      </c>
    </row>
    <row r="687" spans="1:23" x14ac:dyDescent="0.35">
      <c r="A687" s="2" t="s">
        <v>612</v>
      </c>
      <c r="B687">
        <v>1.51</v>
      </c>
      <c r="C687">
        <v>1.51</v>
      </c>
      <c r="D687">
        <v>1.51</v>
      </c>
      <c r="E687">
        <v>1.51</v>
      </c>
      <c r="F687">
        <v>1.51</v>
      </c>
      <c r="G687">
        <v>1.51</v>
      </c>
      <c r="H687">
        <v>1.51</v>
      </c>
      <c r="I687">
        <v>1.51</v>
      </c>
      <c r="J687">
        <v>1.51</v>
      </c>
      <c r="K687">
        <v>1.51</v>
      </c>
      <c r="L687">
        <v>1.51</v>
      </c>
      <c r="M687">
        <v>1.51</v>
      </c>
      <c r="N687">
        <v>1.51</v>
      </c>
      <c r="O687">
        <v>1.51</v>
      </c>
      <c r="P687">
        <v>1.51</v>
      </c>
      <c r="Q687">
        <v>1.51</v>
      </c>
      <c r="R687">
        <v>1.51</v>
      </c>
      <c r="S687">
        <v>1.51</v>
      </c>
      <c r="T687">
        <v>1.51</v>
      </c>
      <c r="U687">
        <v>1.51</v>
      </c>
      <c r="V687">
        <v>1.51</v>
      </c>
      <c r="W687">
        <v>1.51</v>
      </c>
    </row>
    <row r="688" spans="1:23" x14ac:dyDescent="0.35">
      <c r="A688" s="2" t="s">
        <v>613</v>
      </c>
      <c r="B688">
        <v>33.479999999999997</v>
      </c>
      <c r="C688">
        <v>38.01</v>
      </c>
      <c r="D688">
        <v>44.6</v>
      </c>
      <c r="E688">
        <v>50.2</v>
      </c>
      <c r="F688">
        <v>53.57</v>
      </c>
      <c r="G688">
        <v>58.92</v>
      </c>
      <c r="H688">
        <v>62.86</v>
      </c>
      <c r="I688">
        <v>54.98</v>
      </c>
      <c r="J688">
        <v>53.74</v>
      </c>
      <c r="K688">
        <v>51.26</v>
      </c>
      <c r="L688">
        <v>53.52</v>
      </c>
      <c r="M688">
        <v>52.31</v>
      </c>
      <c r="N688">
        <v>47.63</v>
      </c>
      <c r="O688">
        <v>49.75</v>
      </c>
      <c r="P688">
        <v>47.8</v>
      </c>
      <c r="Q688">
        <v>43.1</v>
      </c>
      <c r="R688">
        <v>41.98</v>
      </c>
      <c r="S688">
        <v>38.659999999999997</v>
      </c>
      <c r="T688">
        <v>39.19</v>
      </c>
      <c r="U688">
        <v>42.91</v>
      </c>
      <c r="V688">
        <v>49.55</v>
      </c>
      <c r="W688">
        <v>51.49</v>
      </c>
    </row>
    <row r="689" spans="1:23" x14ac:dyDescent="0.35">
      <c r="A689" s="2" t="s">
        <v>614</v>
      </c>
      <c r="B689">
        <v>390.6</v>
      </c>
      <c r="C689">
        <v>408.03</v>
      </c>
      <c r="D689">
        <v>436.52</v>
      </c>
      <c r="E689">
        <v>468.33</v>
      </c>
      <c r="F689">
        <v>565.15</v>
      </c>
      <c r="G689">
        <v>574.28</v>
      </c>
      <c r="H689">
        <v>580.91999999999996</v>
      </c>
      <c r="I689">
        <v>538.6</v>
      </c>
      <c r="J689">
        <v>542.19000000000005</v>
      </c>
      <c r="K689">
        <v>521.16999999999996</v>
      </c>
      <c r="L689">
        <v>554.64</v>
      </c>
      <c r="M689">
        <v>510.1</v>
      </c>
      <c r="N689">
        <v>501.81</v>
      </c>
      <c r="O689">
        <v>508.44</v>
      </c>
      <c r="P689">
        <v>488.25</v>
      </c>
      <c r="Q689">
        <v>474.97</v>
      </c>
      <c r="R689">
        <v>468.89</v>
      </c>
      <c r="S689">
        <v>467.5</v>
      </c>
      <c r="T689">
        <v>470.82</v>
      </c>
      <c r="U689">
        <v>475.53</v>
      </c>
      <c r="V689">
        <v>482.44</v>
      </c>
      <c r="W689">
        <v>484.38</v>
      </c>
    </row>
    <row r="690" spans="1:23" x14ac:dyDescent="0.35">
      <c r="A690" s="2" t="s">
        <v>615</v>
      </c>
      <c r="B690">
        <v>62.9</v>
      </c>
      <c r="C690">
        <v>68.39</v>
      </c>
      <c r="D690">
        <v>74.73</v>
      </c>
      <c r="E690">
        <v>89.62</v>
      </c>
      <c r="F690">
        <v>95.11</v>
      </c>
      <c r="G690">
        <v>89.39</v>
      </c>
      <c r="H690">
        <v>80.22</v>
      </c>
      <c r="I690">
        <v>70.37</v>
      </c>
      <c r="J690">
        <v>67.37</v>
      </c>
      <c r="K690">
        <v>63.8</v>
      </c>
      <c r="L690">
        <v>62.67</v>
      </c>
      <c r="M690">
        <v>57.91</v>
      </c>
      <c r="N690">
        <v>58.25</v>
      </c>
      <c r="O690">
        <v>61.31</v>
      </c>
      <c r="P690">
        <v>67.989999999999995</v>
      </c>
      <c r="Q690">
        <v>65.27</v>
      </c>
      <c r="R690">
        <v>67.760000000000005</v>
      </c>
      <c r="S690">
        <v>64.989999999999995</v>
      </c>
      <c r="T690">
        <v>66.52</v>
      </c>
      <c r="U690">
        <v>77.5</v>
      </c>
      <c r="V690">
        <v>84.07</v>
      </c>
      <c r="W690">
        <v>80.45</v>
      </c>
    </row>
    <row r="691" spans="1:23" x14ac:dyDescent="0.35">
      <c r="A691" s="2" t="s">
        <v>616</v>
      </c>
      <c r="B691">
        <v>425.64</v>
      </c>
      <c r="C691">
        <v>414.63</v>
      </c>
      <c r="D691">
        <v>384.43</v>
      </c>
      <c r="E691">
        <v>384.43</v>
      </c>
      <c r="F691">
        <v>397.64</v>
      </c>
      <c r="G691">
        <v>420.6</v>
      </c>
      <c r="H691">
        <v>420.92</v>
      </c>
      <c r="I691">
        <v>429.41</v>
      </c>
      <c r="J691">
        <v>442.31</v>
      </c>
      <c r="K691">
        <v>481.01</v>
      </c>
      <c r="L691">
        <v>496.73</v>
      </c>
      <c r="M691">
        <v>496.11</v>
      </c>
      <c r="N691">
        <v>492.96</v>
      </c>
      <c r="O691">
        <v>479.43</v>
      </c>
      <c r="P691">
        <v>466.85</v>
      </c>
      <c r="Q691">
        <v>461.82</v>
      </c>
      <c r="R691">
        <v>435.39</v>
      </c>
      <c r="S691">
        <v>425.32</v>
      </c>
      <c r="T691">
        <v>422.18</v>
      </c>
      <c r="U691">
        <v>425.01</v>
      </c>
      <c r="V691">
        <v>430.99</v>
      </c>
      <c r="W691">
        <v>448.29</v>
      </c>
    </row>
    <row r="692" spans="1:23" x14ac:dyDescent="0.35">
      <c r="A692" s="2" t="s">
        <v>862</v>
      </c>
      <c r="B692">
        <v>1356.59</v>
      </c>
      <c r="C692">
        <v>1387.71</v>
      </c>
      <c r="D692">
        <v>1432.67</v>
      </c>
      <c r="E692">
        <v>1468.99</v>
      </c>
      <c r="F692">
        <v>1476.77</v>
      </c>
      <c r="G692">
        <v>1461.21</v>
      </c>
      <c r="H692">
        <v>1437.86</v>
      </c>
      <c r="I692">
        <v>1441.32</v>
      </c>
      <c r="J692">
        <v>1411.92</v>
      </c>
      <c r="K692">
        <v>1415.38</v>
      </c>
      <c r="L692">
        <v>1423.16</v>
      </c>
      <c r="M692">
        <v>1414.52</v>
      </c>
      <c r="N692">
        <v>1410.19</v>
      </c>
      <c r="O692">
        <v>1399.82</v>
      </c>
      <c r="P692">
        <v>1390.31</v>
      </c>
      <c r="Q692">
        <v>1387.71</v>
      </c>
      <c r="R692">
        <v>1373.88</v>
      </c>
      <c r="S692">
        <v>1373.01</v>
      </c>
      <c r="T692">
        <v>1382.53</v>
      </c>
      <c r="U692">
        <v>1390.31</v>
      </c>
      <c r="V692">
        <v>1386.85</v>
      </c>
      <c r="W692">
        <v>1390.31</v>
      </c>
    </row>
    <row r="693" spans="1:23" x14ac:dyDescent="0.35">
      <c r="A693" s="2" t="s">
        <v>617</v>
      </c>
      <c r="B693">
        <v>5.2</v>
      </c>
      <c r="C693">
        <v>5.24</v>
      </c>
      <c r="D693">
        <v>5.25</v>
      </c>
      <c r="E693">
        <v>5.33</v>
      </c>
      <c r="F693">
        <v>5.12</v>
      </c>
      <c r="G693">
        <v>5.17</v>
      </c>
      <c r="H693">
        <v>5.25</v>
      </c>
      <c r="I693">
        <v>5.23</v>
      </c>
      <c r="J693">
        <v>5.27</v>
      </c>
      <c r="K693">
        <v>5.36</v>
      </c>
      <c r="L693">
        <v>5.37</v>
      </c>
      <c r="M693">
        <v>5.22</v>
      </c>
      <c r="N693">
        <v>5.18</v>
      </c>
      <c r="O693">
        <v>5.15</v>
      </c>
      <c r="P693">
        <v>5.26</v>
      </c>
      <c r="Q693">
        <v>5.29</v>
      </c>
      <c r="R693">
        <v>5.31</v>
      </c>
      <c r="S693">
        <v>5.5</v>
      </c>
      <c r="T693">
        <v>5.6</v>
      </c>
      <c r="U693">
        <v>5.64</v>
      </c>
      <c r="V693">
        <v>5.44</v>
      </c>
      <c r="W693">
        <v>5.44</v>
      </c>
    </row>
    <row r="694" spans="1:23" x14ac:dyDescent="0.35">
      <c r="A694" s="2" t="s">
        <v>863</v>
      </c>
      <c r="B694">
        <v>435.59</v>
      </c>
      <c r="C694">
        <v>458</v>
      </c>
      <c r="D694">
        <v>487.87</v>
      </c>
      <c r="E694">
        <v>507.63</v>
      </c>
      <c r="F694">
        <v>514.61</v>
      </c>
      <c r="G694">
        <v>493.17</v>
      </c>
      <c r="H694">
        <v>458.48</v>
      </c>
      <c r="I694">
        <v>449.08</v>
      </c>
      <c r="J694">
        <v>417.04</v>
      </c>
      <c r="K694">
        <v>417.52</v>
      </c>
      <c r="L694">
        <v>420.89</v>
      </c>
      <c r="M694">
        <v>406.44</v>
      </c>
      <c r="N694">
        <v>400.17</v>
      </c>
      <c r="O694">
        <v>392.46</v>
      </c>
      <c r="P694">
        <v>380.42</v>
      </c>
      <c r="Q694">
        <v>374.4</v>
      </c>
      <c r="R694">
        <v>360.66</v>
      </c>
      <c r="S694">
        <v>349.34</v>
      </c>
      <c r="T694">
        <v>355.84</v>
      </c>
      <c r="U694">
        <v>355.36</v>
      </c>
      <c r="V694">
        <v>343.8</v>
      </c>
      <c r="W694">
        <v>340.67</v>
      </c>
    </row>
    <row r="695" spans="1:23" x14ac:dyDescent="0.35">
      <c r="A695" s="2" t="s">
        <v>618</v>
      </c>
      <c r="B695">
        <v>34.47</v>
      </c>
      <c r="C695">
        <v>35.4</v>
      </c>
      <c r="D695">
        <v>39.159999999999997</v>
      </c>
      <c r="E695">
        <v>41.15</v>
      </c>
      <c r="F695">
        <v>41.67</v>
      </c>
      <c r="G695">
        <v>40.950000000000003</v>
      </c>
      <c r="H695">
        <v>39.630000000000003</v>
      </c>
      <c r="I695">
        <v>38.5</v>
      </c>
      <c r="J695">
        <v>36.869999999999997</v>
      </c>
      <c r="K695">
        <v>37.51</v>
      </c>
      <c r="L695">
        <v>37.78</v>
      </c>
      <c r="M695">
        <v>36.4</v>
      </c>
      <c r="N695">
        <v>35.22</v>
      </c>
      <c r="O695">
        <v>33.340000000000003</v>
      </c>
      <c r="P695">
        <v>31.85</v>
      </c>
      <c r="Q695">
        <v>30.49</v>
      </c>
      <c r="R695">
        <v>29.09</v>
      </c>
      <c r="S695">
        <v>28.57</v>
      </c>
      <c r="T695">
        <v>28.93</v>
      </c>
      <c r="U695">
        <v>28.81</v>
      </c>
      <c r="V695">
        <v>28</v>
      </c>
      <c r="W695">
        <v>27.95</v>
      </c>
    </row>
    <row r="696" spans="1:23" x14ac:dyDescent="0.35">
      <c r="A696" s="2" t="s">
        <v>619</v>
      </c>
      <c r="B696">
        <v>22.32</v>
      </c>
      <c r="C696">
        <v>22.93</v>
      </c>
      <c r="D696">
        <v>24.16</v>
      </c>
      <c r="E696">
        <v>24.92</v>
      </c>
      <c r="F696">
        <v>25.21</v>
      </c>
      <c r="G696">
        <v>25.05</v>
      </c>
      <c r="H696">
        <v>25.49</v>
      </c>
      <c r="I696">
        <v>25.46</v>
      </c>
      <c r="J696">
        <v>25.57</v>
      </c>
      <c r="K696">
        <v>25.54</v>
      </c>
      <c r="L696">
        <v>25.9</v>
      </c>
      <c r="M696">
        <v>26.67</v>
      </c>
      <c r="N696">
        <v>26.56</v>
      </c>
      <c r="O696">
        <v>26.85</v>
      </c>
      <c r="P696">
        <v>26.88</v>
      </c>
      <c r="Q696">
        <v>26.96</v>
      </c>
      <c r="R696">
        <v>27.07</v>
      </c>
      <c r="S696">
        <v>27.16</v>
      </c>
      <c r="T696">
        <v>27.37</v>
      </c>
      <c r="U696">
        <v>27.4</v>
      </c>
      <c r="V696">
        <v>27.53</v>
      </c>
      <c r="W696">
        <v>27.23</v>
      </c>
    </row>
    <row r="697" spans="1:23" x14ac:dyDescent="0.35">
      <c r="A697" s="2" t="s">
        <v>620</v>
      </c>
      <c r="B697">
        <v>29.4</v>
      </c>
      <c r="C697">
        <v>29.64</v>
      </c>
      <c r="D697">
        <v>31.02</v>
      </c>
      <c r="E697">
        <v>31.57</v>
      </c>
      <c r="F697">
        <v>31.55</v>
      </c>
      <c r="G697">
        <v>31.63</v>
      </c>
      <c r="H697">
        <v>33.229999999999997</v>
      </c>
      <c r="I697">
        <v>35.1</v>
      </c>
      <c r="J697">
        <v>35.549999999999997</v>
      </c>
      <c r="K697">
        <v>36.03</v>
      </c>
      <c r="L697">
        <v>36.64</v>
      </c>
      <c r="M697">
        <v>37.590000000000003</v>
      </c>
      <c r="N697">
        <v>38.49</v>
      </c>
      <c r="O697">
        <v>36.96</v>
      </c>
      <c r="P697">
        <v>35</v>
      </c>
      <c r="Q697">
        <v>33.44</v>
      </c>
      <c r="R697">
        <v>33.090000000000003</v>
      </c>
      <c r="S697">
        <v>34.119999999999997</v>
      </c>
      <c r="T697">
        <v>34.47</v>
      </c>
      <c r="U697">
        <v>35.590000000000003</v>
      </c>
      <c r="V697">
        <v>36.03</v>
      </c>
      <c r="W697">
        <v>36.729999999999997</v>
      </c>
    </row>
    <row r="698" spans="1:23" x14ac:dyDescent="0.35">
      <c r="A698" s="2" t="s">
        <v>621</v>
      </c>
      <c r="B698">
        <v>3.68</v>
      </c>
      <c r="C698">
        <v>3.73</v>
      </c>
      <c r="D698">
        <v>3.85</v>
      </c>
      <c r="E698">
        <v>3.91</v>
      </c>
      <c r="F698">
        <v>3.91</v>
      </c>
      <c r="G698">
        <v>3.93</v>
      </c>
      <c r="H698">
        <v>4.07</v>
      </c>
      <c r="I698">
        <v>4.2699999999999996</v>
      </c>
      <c r="J698">
        <v>4.3</v>
      </c>
      <c r="K698">
        <v>4.3600000000000003</v>
      </c>
      <c r="L698">
        <v>4.4400000000000004</v>
      </c>
      <c r="M698">
        <v>4.5</v>
      </c>
      <c r="N698">
        <v>4.59</v>
      </c>
      <c r="O698">
        <v>4.49</v>
      </c>
      <c r="P698">
        <v>4.29</v>
      </c>
      <c r="Q698">
        <v>4.17</v>
      </c>
      <c r="R698">
        <v>4.08</v>
      </c>
      <c r="S698">
        <v>4.1500000000000004</v>
      </c>
      <c r="T698">
        <v>4.25</v>
      </c>
      <c r="U698">
        <v>4.37</v>
      </c>
      <c r="V698">
        <v>4.3899999999999997</v>
      </c>
      <c r="W698">
        <v>4.4800000000000004</v>
      </c>
    </row>
    <row r="699" spans="1:23" x14ac:dyDescent="0.35">
      <c r="A699" s="2" t="s">
        <v>622</v>
      </c>
      <c r="B699">
        <v>9.9600000000000009</v>
      </c>
      <c r="C699">
        <v>9.9600000000000009</v>
      </c>
      <c r="D699">
        <v>10.039999999999999</v>
      </c>
      <c r="E699">
        <v>10.01</v>
      </c>
      <c r="F699">
        <v>9.9499999999999993</v>
      </c>
      <c r="G699">
        <v>9.9700000000000006</v>
      </c>
      <c r="H699">
        <v>10.039999999999999</v>
      </c>
      <c r="I699">
        <v>10.01</v>
      </c>
      <c r="J699">
        <v>10.15</v>
      </c>
      <c r="K699">
        <v>10.07</v>
      </c>
      <c r="L699">
        <v>10.18</v>
      </c>
      <c r="M699">
        <v>10.29</v>
      </c>
      <c r="N699">
        <v>10.27</v>
      </c>
      <c r="O699">
        <v>10.199999999999999</v>
      </c>
      <c r="P699">
        <v>10.14</v>
      </c>
      <c r="Q699">
        <v>10.17</v>
      </c>
      <c r="R699">
        <v>10.24</v>
      </c>
      <c r="S699">
        <v>10.17</v>
      </c>
      <c r="T699">
        <v>10.18</v>
      </c>
      <c r="U699">
        <v>10.06</v>
      </c>
      <c r="V699">
        <v>10.08</v>
      </c>
      <c r="W699">
        <v>10.050000000000001</v>
      </c>
    </row>
    <row r="700" spans="1:23" x14ac:dyDescent="0.35">
      <c r="A700" s="2" t="s">
        <v>623</v>
      </c>
      <c r="B700">
        <v>0.99</v>
      </c>
      <c r="C700">
        <v>1.02</v>
      </c>
      <c r="D700">
        <v>1</v>
      </c>
      <c r="E700">
        <v>1.03</v>
      </c>
      <c r="F700">
        <v>1.01</v>
      </c>
      <c r="G700">
        <v>1.03</v>
      </c>
      <c r="H700">
        <v>1.03</v>
      </c>
      <c r="I700">
        <v>1.06</v>
      </c>
      <c r="J700">
        <v>1.1200000000000001</v>
      </c>
      <c r="K700">
        <v>1.0900000000000001</v>
      </c>
      <c r="L700">
        <v>1.1499999999999999</v>
      </c>
      <c r="M700">
        <v>1.1200000000000001</v>
      </c>
      <c r="N700">
        <v>1.1200000000000001</v>
      </c>
      <c r="O700">
        <v>1.1399999999999999</v>
      </c>
      <c r="P700">
        <v>1.1599999999999999</v>
      </c>
      <c r="Q700">
        <v>1.1299999999999999</v>
      </c>
      <c r="R700">
        <v>1.19</v>
      </c>
      <c r="S700">
        <v>1.1599999999999999</v>
      </c>
      <c r="T700">
        <v>1.22</v>
      </c>
      <c r="U700">
        <v>1.21</v>
      </c>
      <c r="V700">
        <v>1.21</v>
      </c>
      <c r="W700">
        <v>1.24</v>
      </c>
    </row>
    <row r="701" spans="1:23" x14ac:dyDescent="0.35">
      <c r="A701" s="2" t="s">
        <v>624</v>
      </c>
      <c r="B701">
        <v>11.99</v>
      </c>
      <c r="C701">
        <v>12.17</v>
      </c>
      <c r="D701">
        <v>12.28</v>
      </c>
      <c r="E701">
        <v>12.49</v>
      </c>
      <c r="F701">
        <v>12.03</v>
      </c>
      <c r="G701">
        <v>11.76</v>
      </c>
      <c r="H701">
        <v>11.61</v>
      </c>
      <c r="I701">
        <v>11.59</v>
      </c>
      <c r="J701">
        <v>11.33</v>
      </c>
      <c r="K701">
        <v>11.12</v>
      </c>
      <c r="L701">
        <v>11.58</v>
      </c>
      <c r="M701">
        <v>11.37</v>
      </c>
      <c r="N701">
        <v>11.76</v>
      </c>
      <c r="O701">
        <v>11.33</v>
      </c>
      <c r="P701">
        <v>10.99</v>
      </c>
      <c r="Q701">
        <v>11.16</v>
      </c>
      <c r="R701">
        <v>11</v>
      </c>
      <c r="S701">
        <v>10.81</v>
      </c>
      <c r="T701">
        <v>10.71</v>
      </c>
      <c r="U701">
        <v>10.71</v>
      </c>
      <c r="V701">
        <v>11.08</v>
      </c>
      <c r="W701">
        <v>11.12</v>
      </c>
    </row>
    <row r="702" spans="1:23" x14ac:dyDescent="0.35">
      <c r="A702" s="2" t="s">
        <v>625</v>
      </c>
      <c r="B702">
        <v>2.1800000000000002</v>
      </c>
      <c r="C702">
        <v>2.1800000000000002</v>
      </c>
      <c r="D702">
        <v>2.1800000000000002</v>
      </c>
      <c r="E702">
        <v>2.1800000000000002</v>
      </c>
      <c r="F702">
        <v>2.1800000000000002</v>
      </c>
      <c r="G702">
        <v>2.17</v>
      </c>
      <c r="H702">
        <v>2.19</v>
      </c>
      <c r="I702">
        <v>2.19</v>
      </c>
      <c r="J702">
        <v>2.2000000000000002</v>
      </c>
      <c r="K702">
        <v>2.2200000000000002</v>
      </c>
      <c r="L702">
        <v>2.21</v>
      </c>
      <c r="M702">
        <v>2.2200000000000002</v>
      </c>
      <c r="N702">
        <v>2.2200000000000002</v>
      </c>
      <c r="O702">
        <v>2.2200000000000002</v>
      </c>
      <c r="P702">
        <v>2.21</v>
      </c>
      <c r="Q702">
        <v>2.23</v>
      </c>
      <c r="R702">
        <v>2.2200000000000002</v>
      </c>
      <c r="S702">
        <v>2.23</v>
      </c>
      <c r="T702">
        <v>2.2000000000000002</v>
      </c>
      <c r="U702">
        <v>2.2200000000000002</v>
      </c>
      <c r="V702">
        <v>2.21</v>
      </c>
      <c r="W702">
        <v>2.2200000000000002</v>
      </c>
    </row>
    <row r="703" spans="1:23" x14ac:dyDescent="0.35">
      <c r="A703" s="2" t="s">
        <v>626</v>
      </c>
      <c r="B703">
        <v>346.94</v>
      </c>
      <c r="C703">
        <v>353.87</v>
      </c>
      <c r="D703">
        <v>356.44</v>
      </c>
      <c r="E703">
        <v>360.8</v>
      </c>
      <c r="F703">
        <v>368.24</v>
      </c>
      <c r="G703">
        <v>371.06</v>
      </c>
      <c r="H703">
        <v>360.54</v>
      </c>
      <c r="I703">
        <v>356.69</v>
      </c>
      <c r="J703">
        <v>349.77</v>
      </c>
      <c r="K703">
        <v>338.73</v>
      </c>
      <c r="L703">
        <v>324.87</v>
      </c>
      <c r="M703">
        <v>318.97000000000003</v>
      </c>
      <c r="N703">
        <v>317.69</v>
      </c>
      <c r="O703">
        <v>317.69</v>
      </c>
      <c r="P703">
        <v>315.38</v>
      </c>
      <c r="Q703">
        <v>316.41000000000003</v>
      </c>
      <c r="R703">
        <v>311.79000000000002</v>
      </c>
      <c r="S703">
        <v>308.19</v>
      </c>
      <c r="T703">
        <v>305.11</v>
      </c>
      <c r="U703">
        <v>307.42</v>
      </c>
      <c r="V703">
        <v>307.94</v>
      </c>
      <c r="W703">
        <v>309.22000000000003</v>
      </c>
    </row>
    <row r="704" spans="1:23" x14ac:dyDescent="0.35">
      <c r="A704" s="2" t="s">
        <v>627</v>
      </c>
      <c r="B704">
        <v>201.29</v>
      </c>
      <c r="C704">
        <v>205.43</v>
      </c>
      <c r="D704">
        <v>207.3</v>
      </c>
      <c r="E704">
        <v>210.78</v>
      </c>
      <c r="F704">
        <v>218.53</v>
      </c>
      <c r="G704">
        <v>221.07</v>
      </c>
      <c r="H704">
        <v>214.65</v>
      </c>
      <c r="I704">
        <v>212.11</v>
      </c>
      <c r="J704">
        <v>208.24</v>
      </c>
      <c r="K704">
        <v>198.88</v>
      </c>
      <c r="L704">
        <v>187.65</v>
      </c>
      <c r="M704">
        <v>184.18</v>
      </c>
      <c r="N704">
        <v>181.51</v>
      </c>
      <c r="O704">
        <v>180.3</v>
      </c>
      <c r="P704">
        <v>178.83</v>
      </c>
      <c r="Q704">
        <v>179.37</v>
      </c>
      <c r="R704">
        <v>176.16</v>
      </c>
      <c r="S704">
        <v>174.42</v>
      </c>
      <c r="T704">
        <v>171.48</v>
      </c>
      <c r="U704">
        <v>172.69</v>
      </c>
      <c r="V704">
        <v>173.22</v>
      </c>
      <c r="W704">
        <v>174.29</v>
      </c>
    </row>
    <row r="705" spans="1:23" x14ac:dyDescent="0.35">
      <c r="A705" s="2" t="s">
        <v>628</v>
      </c>
      <c r="B705">
        <v>59.41</v>
      </c>
      <c r="C705">
        <v>60.36</v>
      </c>
      <c r="D705">
        <v>61.52</v>
      </c>
      <c r="E705">
        <v>61.37</v>
      </c>
      <c r="F705">
        <v>61.22</v>
      </c>
      <c r="G705">
        <v>61.47</v>
      </c>
      <c r="H705">
        <v>58.45</v>
      </c>
      <c r="I705">
        <v>58.2</v>
      </c>
      <c r="J705">
        <v>57.14</v>
      </c>
      <c r="K705">
        <v>56.24</v>
      </c>
      <c r="L705">
        <v>55.33</v>
      </c>
      <c r="M705">
        <v>53.82</v>
      </c>
      <c r="N705">
        <v>54.78</v>
      </c>
      <c r="O705">
        <v>56.09</v>
      </c>
      <c r="P705">
        <v>55.69</v>
      </c>
      <c r="Q705">
        <v>55.79</v>
      </c>
      <c r="R705">
        <v>55.13</v>
      </c>
      <c r="S705">
        <v>54.03</v>
      </c>
      <c r="T705">
        <v>54.63</v>
      </c>
      <c r="U705">
        <v>55.58</v>
      </c>
      <c r="V705">
        <v>55.48</v>
      </c>
      <c r="W705">
        <v>55.53</v>
      </c>
    </row>
    <row r="706" spans="1:23" x14ac:dyDescent="0.35">
      <c r="A706" s="2" t="s">
        <v>864</v>
      </c>
      <c r="B706">
        <v>24.82</v>
      </c>
      <c r="C706">
        <v>24.76</v>
      </c>
      <c r="D706">
        <v>24.52</v>
      </c>
      <c r="E706">
        <v>25.35</v>
      </c>
      <c r="F706">
        <v>25.41</v>
      </c>
      <c r="G706">
        <v>25.28</v>
      </c>
      <c r="H706">
        <v>25.26</v>
      </c>
      <c r="I706">
        <v>25.62</v>
      </c>
      <c r="J706">
        <v>25.49</v>
      </c>
      <c r="K706">
        <v>25.24</v>
      </c>
      <c r="L706">
        <v>24.74</v>
      </c>
      <c r="M706">
        <v>24.04</v>
      </c>
      <c r="N706">
        <v>23.66</v>
      </c>
      <c r="O706">
        <v>23.43</v>
      </c>
      <c r="P706">
        <v>23.51</v>
      </c>
      <c r="Q706">
        <v>23.35</v>
      </c>
      <c r="R706">
        <v>23.11</v>
      </c>
      <c r="S706">
        <v>22.86</v>
      </c>
      <c r="T706">
        <v>22.72</v>
      </c>
      <c r="U706">
        <v>22.84</v>
      </c>
      <c r="V706">
        <v>22.69</v>
      </c>
      <c r="W706">
        <v>23.05</v>
      </c>
    </row>
    <row r="707" spans="1:23" x14ac:dyDescent="0.35">
      <c r="A707" s="2" t="s">
        <v>629</v>
      </c>
      <c r="B707">
        <v>7.39</v>
      </c>
      <c r="C707">
        <v>7.48</v>
      </c>
      <c r="D707">
        <v>7.6</v>
      </c>
      <c r="E707">
        <v>7.77</v>
      </c>
      <c r="F707">
        <v>7.8</v>
      </c>
      <c r="G707">
        <v>7.71</v>
      </c>
      <c r="H707">
        <v>7.8</v>
      </c>
      <c r="I707">
        <v>7.58</v>
      </c>
      <c r="J707">
        <v>7.38</v>
      </c>
      <c r="K707">
        <v>7.21</v>
      </c>
      <c r="L707">
        <v>7.05</v>
      </c>
      <c r="M707">
        <v>7.2</v>
      </c>
      <c r="N707">
        <v>7</v>
      </c>
      <c r="O707">
        <v>6.89</v>
      </c>
      <c r="P707">
        <v>7.08</v>
      </c>
      <c r="Q707">
        <v>7.1</v>
      </c>
      <c r="R707">
        <v>6.97</v>
      </c>
      <c r="S707">
        <v>6.84</v>
      </c>
      <c r="T707">
        <v>6.71</v>
      </c>
      <c r="U707">
        <v>6.58</v>
      </c>
      <c r="V707">
        <v>6.56</v>
      </c>
      <c r="W707">
        <v>6.66</v>
      </c>
    </row>
    <row r="708" spans="1:23" x14ac:dyDescent="0.35">
      <c r="A708" s="2" t="s">
        <v>865</v>
      </c>
      <c r="B708">
        <v>31.93</v>
      </c>
      <c r="C708">
        <v>31.82</v>
      </c>
      <c r="D708">
        <v>32.06</v>
      </c>
      <c r="E708">
        <v>32.229999999999997</v>
      </c>
      <c r="F708">
        <v>32.36</v>
      </c>
      <c r="G708">
        <v>32.4</v>
      </c>
      <c r="H708">
        <v>32.49</v>
      </c>
      <c r="I708">
        <v>32.83</v>
      </c>
      <c r="J708">
        <v>33.14</v>
      </c>
      <c r="K708">
        <v>33.01</v>
      </c>
      <c r="L708">
        <v>33.11</v>
      </c>
      <c r="M708">
        <v>32.75</v>
      </c>
      <c r="N708">
        <v>32.79</v>
      </c>
      <c r="O708">
        <v>32.979999999999997</v>
      </c>
      <c r="P708">
        <v>33.22</v>
      </c>
      <c r="Q708">
        <v>32.770000000000003</v>
      </c>
      <c r="R708">
        <v>33.24</v>
      </c>
      <c r="S708">
        <v>32.92</v>
      </c>
      <c r="T708">
        <v>33.520000000000003</v>
      </c>
      <c r="U708">
        <v>33.33</v>
      </c>
      <c r="V708">
        <v>33.67</v>
      </c>
      <c r="W708">
        <v>34.15</v>
      </c>
    </row>
    <row r="709" spans="1:23" x14ac:dyDescent="0.35">
      <c r="A709" s="2" t="s">
        <v>630</v>
      </c>
      <c r="B709">
        <v>4.1100000000000003</v>
      </c>
      <c r="C709">
        <v>4.0599999999999996</v>
      </c>
      <c r="D709">
        <v>4.0599999999999996</v>
      </c>
      <c r="E709">
        <v>4.08</v>
      </c>
      <c r="F709">
        <v>4.01</v>
      </c>
      <c r="G709">
        <v>4.12</v>
      </c>
      <c r="H709">
        <v>4.1500000000000004</v>
      </c>
      <c r="I709">
        <v>4.2</v>
      </c>
      <c r="J709">
        <v>4.18</v>
      </c>
      <c r="K709">
        <v>4.22</v>
      </c>
      <c r="L709">
        <v>4.1500000000000004</v>
      </c>
      <c r="M709">
        <v>4.0999999999999996</v>
      </c>
      <c r="N709">
        <v>4.0599999999999996</v>
      </c>
      <c r="O709">
        <v>4.1399999999999997</v>
      </c>
      <c r="P709">
        <v>4.04</v>
      </c>
      <c r="Q709">
        <v>4.04</v>
      </c>
      <c r="R709">
        <v>3.96</v>
      </c>
      <c r="S709">
        <v>4.01</v>
      </c>
      <c r="T709">
        <v>3.92</v>
      </c>
      <c r="U709">
        <v>4.0199999999999996</v>
      </c>
      <c r="V709">
        <v>3.91</v>
      </c>
      <c r="W709">
        <v>4.0199999999999996</v>
      </c>
    </row>
    <row r="710" spans="1:23" x14ac:dyDescent="0.35">
      <c r="A710" s="2" t="s">
        <v>631</v>
      </c>
      <c r="B710">
        <v>8.8000000000000007</v>
      </c>
      <c r="C710">
        <v>8.81</v>
      </c>
      <c r="D710">
        <v>8.58</v>
      </c>
      <c r="E710">
        <v>8.59</v>
      </c>
      <c r="F710">
        <v>8.5</v>
      </c>
      <c r="G710">
        <v>8.56</v>
      </c>
      <c r="H710">
        <v>8.73</v>
      </c>
      <c r="I710">
        <v>8.64</v>
      </c>
      <c r="J710">
        <v>8.5299999999999994</v>
      </c>
      <c r="K710">
        <v>8.41</v>
      </c>
      <c r="L710">
        <v>8.4600000000000009</v>
      </c>
      <c r="M710">
        <v>8.4499999999999993</v>
      </c>
      <c r="N710">
        <v>8.43</v>
      </c>
      <c r="O710">
        <v>8.43</v>
      </c>
      <c r="P710">
        <v>8.44</v>
      </c>
      <c r="Q710">
        <v>8.48</v>
      </c>
      <c r="R710">
        <v>8.4600000000000009</v>
      </c>
      <c r="S710">
        <v>8.4700000000000006</v>
      </c>
      <c r="T710">
        <v>8.5299999999999994</v>
      </c>
      <c r="U710">
        <v>8.57</v>
      </c>
      <c r="V710">
        <v>8.51</v>
      </c>
      <c r="W710">
        <v>8.49</v>
      </c>
    </row>
    <row r="711" spans="1:23" x14ac:dyDescent="0.35">
      <c r="A711" s="2" t="s">
        <v>632</v>
      </c>
      <c r="B711">
        <v>14.98</v>
      </c>
      <c r="C711">
        <v>15.04</v>
      </c>
      <c r="D711">
        <v>15.14</v>
      </c>
      <c r="E711">
        <v>15.3</v>
      </c>
      <c r="F711">
        <v>15.46</v>
      </c>
      <c r="G711">
        <v>15.52</v>
      </c>
      <c r="H711">
        <v>15.42</v>
      </c>
      <c r="I711">
        <v>15.66</v>
      </c>
      <c r="J711">
        <v>15.74</v>
      </c>
      <c r="K711">
        <v>15.73</v>
      </c>
      <c r="L711">
        <v>15.52</v>
      </c>
      <c r="M711">
        <v>15.8</v>
      </c>
      <c r="N711">
        <v>15.72</v>
      </c>
      <c r="O711">
        <v>15.61</v>
      </c>
      <c r="P711">
        <v>15.73</v>
      </c>
      <c r="Q711">
        <v>15.72</v>
      </c>
      <c r="R711">
        <v>15.64</v>
      </c>
      <c r="S711">
        <v>15.66</v>
      </c>
      <c r="T711">
        <v>15.64</v>
      </c>
      <c r="U711">
        <v>15.6</v>
      </c>
      <c r="V711">
        <v>15.73</v>
      </c>
      <c r="W711">
        <v>15.63</v>
      </c>
    </row>
    <row r="712" spans="1:23" x14ac:dyDescent="0.35">
      <c r="A712" s="2" t="s">
        <v>633</v>
      </c>
      <c r="B712">
        <v>5.48</v>
      </c>
      <c r="C712">
        <v>5.5</v>
      </c>
      <c r="D712">
        <v>5.5</v>
      </c>
      <c r="E712">
        <v>5.7</v>
      </c>
      <c r="F712">
        <v>5.7</v>
      </c>
      <c r="G712">
        <v>5.75</v>
      </c>
      <c r="H712">
        <v>5.76</v>
      </c>
      <c r="I712">
        <v>5.76</v>
      </c>
      <c r="J712">
        <v>5.86</v>
      </c>
      <c r="K712">
        <v>5.86</v>
      </c>
      <c r="L712">
        <v>5.88</v>
      </c>
      <c r="M712">
        <v>5.85</v>
      </c>
      <c r="N712">
        <v>5.78</v>
      </c>
      <c r="O712">
        <v>5.78</v>
      </c>
      <c r="P712">
        <v>5.84</v>
      </c>
      <c r="Q712">
        <v>5.84</v>
      </c>
      <c r="R712">
        <v>5.89</v>
      </c>
      <c r="S712">
        <v>5.92</v>
      </c>
      <c r="T712">
        <v>5.76</v>
      </c>
      <c r="U712">
        <v>5.76</v>
      </c>
      <c r="V712">
        <v>5.81</v>
      </c>
      <c r="W712">
        <v>5.76</v>
      </c>
    </row>
    <row r="713" spans="1:23" x14ac:dyDescent="0.35">
      <c r="A713" s="2" t="s">
        <v>866</v>
      </c>
      <c r="B713">
        <v>14.29</v>
      </c>
      <c r="C713">
        <v>14.58</v>
      </c>
      <c r="D713">
        <v>14.82</v>
      </c>
      <c r="E713">
        <v>14.39</v>
      </c>
      <c r="F713">
        <v>14.61</v>
      </c>
      <c r="G713">
        <v>14.35</v>
      </c>
      <c r="H713">
        <v>14.58</v>
      </c>
      <c r="I713">
        <v>14.99</v>
      </c>
      <c r="J713">
        <v>14.85</v>
      </c>
      <c r="K713">
        <v>14.59</v>
      </c>
      <c r="L713">
        <v>14.7</v>
      </c>
      <c r="M713">
        <v>14.61</v>
      </c>
      <c r="N713">
        <v>14.76</v>
      </c>
      <c r="O713">
        <v>14.76</v>
      </c>
      <c r="P713">
        <v>14.79</v>
      </c>
      <c r="Q713">
        <v>14.95</v>
      </c>
      <c r="R713">
        <v>15.06</v>
      </c>
      <c r="S713">
        <v>15.19</v>
      </c>
      <c r="T713">
        <v>14.92</v>
      </c>
      <c r="U713">
        <v>15</v>
      </c>
      <c r="V713">
        <v>14.88</v>
      </c>
      <c r="W713">
        <v>14.92</v>
      </c>
    </row>
    <row r="714" spans="1:23" x14ac:dyDescent="0.35">
      <c r="A714" s="2" t="s">
        <v>867</v>
      </c>
      <c r="B714">
        <v>154.93</v>
      </c>
      <c r="C714">
        <v>156.24</v>
      </c>
      <c r="D714">
        <v>161.91</v>
      </c>
      <c r="E714">
        <v>167.58</v>
      </c>
      <c r="F714">
        <v>170.42</v>
      </c>
      <c r="G714">
        <v>169.87</v>
      </c>
      <c r="H714">
        <v>168.35</v>
      </c>
      <c r="I714">
        <v>168.45</v>
      </c>
      <c r="J714">
        <v>168.13</v>
      </c>
      <c r="K714">
        <v>166.6</v>
      </c>
      <c r="L714">
        <v>164.53</v>
      </c>
      <c r="M714">
        <v>161.80000000000001</v>
      </c>
      <c r="N714">
        <v>161.69</v>
      </c>
      <c r="O714">
        <v>161.37</v>
      </c>
      <c r="P714">
        <v>160.28</v>
      </c>
      <c r="Q714">
        <v>160.5</v>
      </c>
      <c r="R714">
        <v>159.19</v>
      </c>
      <c r="S714">
        <v>156.57</v>
      </c>
      <c r="T714">
        <v>152.1</v>
      </c>
      <c r="U714">
        <v>151.55000000000001</v>
      </c>
      <c r="V714">
        <v>150.9</v>
      </c>
      <c r="W714">
        <v>151.01</v>
      </c>
    </row>
    <row r="715" spans="1:23" x14ac:dyDescent="0.35">
      <c r="A715" s="2" t="s">
        <v>634</v>
      </c>
      <c r="B715">
        <v>1.6</v>
      </c>
      <c r="C715">
        <v>1.62</v>
      </c>
      <c r="D715">
        <v>1.72</v>
      </c>
      <c r="E715">
        <v>1.71</v>
      </c>
      <c r="F715">
        <v>1.72</v>
      </c>
      <c r="G715">
        <v>1.65</v>
      </c>
      <c r="H715">
        <v>1.65</v>
      </c>
      <c r="I715">
        <v>1.64</v>
      </c>
      <c r="J715">
        <v>1.66</v>
      </c>
      <c r="K715">
        <v>1.63</v>
      </c>
      <c r="L715">
        <v>1.61</v>
      </c>
      <c r="M715">
        <v>1.57</v>
      </c>
      <c r="N715">
        <v>1.59</v>
      </c>
      <c r="O715">
        <v>1.57</v>
      </c>
      <c r="P715">
        <v>1.54</v>
      </c>
      <c r="Q715">
        <v>1.53</v>
      </c>
      <c r="R715">
        <v>1.53</v>
      </c>
      <c r="S715">
        <v>1.47</v>
      </c>
      <c r="T715">
        <v>1.47</v>
      </c>
      <c r="U715">
        <v>1.52</v>
      </c>
      <c r="V715">
        <v>1.51</v>
      </c>
      <c r="W715">
        <v>1.51</v>
      </c>
    </row>
    <row r="716" spans="1:23" x14ac:dyDescent="0.35">
      <c r="A716" s="2" t="s">
        <v>635</v>
      </c>
      <c r="B716">
        <v>5.13</v>
      </c>
      <c r="C716">
        <v>5.07</v>
      </c>
      <c r="D716">
        <v>5.25</v>
      </c>
      <c r="E716">
        <v>5.67</v>
      </c>
      <c r="F716">
        <v>5.64</v>
      </c>
      <c r="G716">
        <v>5.52</v>
      </c>
      <c r="H716">
        <v>5.24</v>
      </c>
      <c r="I716">
        <v>5.21</v>
      </c>
      <c r="J716">
        <v>5.12</v>
      </c>
      <c r="K716">
        <v>5.05</v>
      </c>
      <c r="L716">
        <v>4.79</v>
      </c>
      <c r="M716">
        <v>4.6399999999999997</v>
      </c>
      <c r="N716">
        <v>4.5999999999999996</v>
      </c>
      <c r="O716">
        <v>4.6100000000000003</v>
      </c>
      <c r="P716">
        <v>4.47</v>
      </c>
      <c r="Q716">
        <v>4.46</v>
      </c>
      <c r="R716">
        <v>4.38</v>
      </c>
      <c r="S716">
        <v>4.12</v>
      </c>
      <c r="T716">
        <v>3.99</v>
      </c>
      <c r="U716">
        <v>3.97</v>
      </c>
      <c r="V716">
        <v>3.97</v>
      </c>
      <c r="W716">
        <v>4.03</v>
      </c>
    </row>
    <row r="717" spans="1:23" x14ac:dyDescent="0.35">
      <c r="A717" s="2" t="s">
        <v>636</v>
      </c>
      <c r="B717">
        <v>4.08</v>
      </c>
      <c r="C717">
        <v>3.52</v>
      </c>
      <c r="D717">
        <v>3.64</v>
      </c>
      <c r="E717">
        <v>4.07</v>
      </c>
      <c r="F717">
        <v>4.26</v>
      </c>
      <c r="G717">
        <v>4.42</v>
      </c>
      <c r="H717">
        <v>4.43</v>
      </c>
      <c r="I717">
        <v>4.2699999999999996</v>
      </c>
      <c r="J717">
        <v>4.32</v>
      </c>
      <c r="K717">
        <v>4.45</v>
      </c>
      <c r="L717">
        <v>4.49</v>
      </c>
      <c r="M717">
        <v>4.43</v>
      </c>
      <c r="N717">
        <v>4.6500000000000004</v>
      </c>
      <c r="O717">
        <v>4.6500000000000004</v>
      </c>
      <c r="P717">
        <v>4.6399999999999997</v>
      </c>
      <c r="Q717">
        <v>4.7300000000000004</v>
      </c>
      <c r="R717">
        <v>4.6900000000000004</v>
      </c>
      <c r="S717">
        <v>4.95</v>
      </c>
      <c r="T717">
        <v>4.63</v>
      </c>
      <c r="U717">
        <v>4.4800000000000004</v>
      </c>
      <c r="V717">
        <v>4.55</v>
      </c>
      <c r="W717">
        <v>4.76</v>
      </c>
    </row>
    <row r="718" spans="1:23" x14ac:dyDescent="0.35">
      <c r="A718" s="2" t="s">
        <v>637</v>
      </c>
      <c r="B718">
        <v>4.2699999999999996</v>
      </c>
      <c r="C718">
        <v>4.28</v>
      </c>
      <c r="D718">
        <v>4.34</v>
      </c>
      <c r="E718">
        <v>4.3600000000000003</v>
      </c>
      <c r="F718">
        <v>4.37</v>
      </c>
      <c r="G718">
        <v>4.38</v>
      </c>
      <c r="H718">
        <v>4.3499999999999996</v>
      </c>
      <c r="I718">
        <v>4.3499999999999996</v>
      </c>
      <c r="J718">
        <v>4.43</v>
      </c>
      <c r="K718">
        <v>4.4000000000000004</v>
      </c>
      <c r="L718">
        <v>4.38</v>
      </c>
      <c r="M718">
        <v>4.3499999999999996</v>
      </c>
      <c r="N718">
        <v>4.34</v>
      </c>
      <c r="O718">
        <v>4.45</v>
      </c>
      <c r="P718">
        <v>4.45</v>
      </c>
      <c r="Q718">
        <v>4.45</v>
      </c>
      <c r="R718">
        <v>4.42</v>
      </c>
      <c r="S718">
        <v>4.3600000000000003</v>
      </c>
      <c r="T718">
        <v>4.22</v>
      </c>
      <c r="U718">
        <v>4.24</v>
      </c>
      <c r="V718">
        <v>4.22</v>
      </c>
      <c r="W718">
        <v>4.26</v>
      </c>
    </row>
    <row r="719" spans="1:23" x14ac:dyDescent="0.35">
      <c r="A719" s="2" t="s">
        <v>638</v>
      </c>
      <c r="B719">
        <v>0.28000000000000003</v>
      </c>
      <c r="C719">
        <v>0.28000000000000003</v>
      </c>
      <c r="D719">
        <v>0.28999999999999998</v>
      </c>
      <c r="E719">
        <v>0.31</v>
      </c>
      <c r="F719">
        <v>0.3</v>
      </c>
      <c r="G719">
        <v>0.31</v>
      </c>
      <c r="H719">
        <v>0.31</v>
      </c>
      <c r="I719">
        <v>0.31</v>
      </c>
      <c r="J719">
        <v>0.32</v>
      </c>
      <c r="K719">
        <v>0.32</v>
      </c>
      <c r="L719">
        <v>0.31</v>
      </c>
      <c r="M719">
        <v>0.31</v>
      </c>
      <c r="N719">
        <v>0.31</v>
      </c>
      <c r="O719">
        <v>0.31</v>
      </c>
      <c r="P719">
        <v>0.31</v>
      </c>
      <c r="Q719">
        <v>0.31</v>
      </c>
      <c r="R719">
        <v>0.31</v>
      </c>
      <c r="S719">
        <v>0.3</v>
      </c>
      <c r="T719">
        <v>0.28999999999999998</v>
      </c>
      <c r="U719">
        <v>0.28999999999999998</v>
      </c>
      <c r="V719">
        <v>0.28999999999999998</v>
      </c>
      <c r="W719">
        <v>0.28999999999999998</v>
      </c>
    </row>
    <row r="720" spans="1:23" x14ac:dyDescent="0.35">
      <c r="A720" s="2" t="s">
        <v>639</v>
      </c>
      <c r="B720">
        <v>24.26</v>
      </c>
      <c r="C720">
        <v>24.6</v>
      </c>
      <c r="D720">
        <v>24.98</v>
      </c>
      <c r="E720">
        <v>25.87</v>
      </c>
      <c r="F720">
        <v>26.68</v>
      </c>
      <c r="G720">
        <v>25.96</v>
      </c>
      <c r="H720">
        <v>25.92</v>
      </c>
      <c r="I720">
        <v>25.99</v>
      </c>
      <c r="J720">
        <v>26.05</v>
      </c>
      <c r="K720">
        <v>25.96</v>
      </c>
      <c r="L720">
        <v>25.54</v>
      </c>
      <c r="M720">
        <v>24.73</v>
      </c>
      <c r="N720">
        <v>24.78</v>
      </c>
      <c r="O720">
        <v>24.58</v>
      </c>
      <c r="P720">
        <v>24.44</v>
      </c>
      <c r="Q720">
        <v>24.19</v>
      </c>
      <c r="R720">
        <v>24.06</v>
      </c>
      <c r="S720">
        <v>23.93</v>
      </c>
      <c r="T720">
        <v>24.08</v>
      </c>
      <c r="U720">
        <v>24.13</v>
      </c>
      <c r="V720">
        <v>24.19</v>
      </c>
      <c r="W720">
        <v>24.62</v>
      </c>
    </row>
    <row r="721" spans="1:23" x14ac:dyDescent="0.35">
      <c r="A721" s="2" t="s">
        <v>640</v>
      </c>
      <c r="B721">
        <v>3.8</v>
      </c>
      <c r="C721">
        <v>3.64</v>
      </c>
      <c r="D721">
        <v>3.88</v>
      </c>
      <c r="E721">
        <v>4.07</v>
      </c>
      <c r="F721">
        <v>4.05</v>
      </c>
      <c r="G721">
        <v>3.88</v>
      </c>
      <c r="H721">
        <v>3.77</v>
      </c>
      <c r="I721">
        <v>3.8</v>
      </c>
      <c r="J721">
        <v>3.73</v>
      </c>
      <c r="K721">
        <v>3.73</v>
      </c>
      <c r="L721">
        <v>3.66</v>
      </c>
      <c r="M721">
        <v>3.74</v>
      </c>
      <c r="N721">
        <v>3.78</v>
      </c>
      <c r="O721">
        <v>3.54</v>
      </c>
      <c r="P721">
        <v>3.58</v>
      </c>
      <c r="Q721">
        <v>3.61</v>
      </c>
      <c r="R721">
        <v>3.53</v>
      </c>
      <c r="S721">
        <v>3.35</v>
      </c>
      <c r="T721">
        <v>3.31</v>
      </c>
      <c r="U721">
        <v>3.32</v>
      </c>
      <c r="V721">
        <v>3.34</v>
      </c>
      <c r="W721">
        <v>3.34</v>
      </c>
    </row>
    <row r="722" spans="1:23" x14ac:dyDescent="0.35">
      <c r="A722" s="2" t="s">
        <v>868</v>
      </c>
      <c r="B722">
        <v>42.86</v>
      </c>
      <c r="C722">
        <v>43.11</v>
      </c>
      <c r="D722">
        <v>44.87</v>
      </c>
      <c r="E722">
        <v>47.19</v>
      </c>
      <c r="F722">
        <v>48.43</v>
      </c>
      <c r="G722">
        <v>48.24</v>
      </c>
      <c r="H722">
        <v>46.82</v>
      </c>
      <c r="I722">
        <v>45.74</v>
      </c>
      <c r="J722">
        <v>45.36</v>
      </c>
      <c r="K722">
        <v>44.93</v>
      </c>
      <c r="L722">
        <v>43.79</v>
      </c>
      <c r="M722">
        <v>42.8</v>
      </c>
      <c r="N722">
        <v>42.42</v>
      </c>
      <c r="O722">
        <v>42.77</v>
      </c>
      <c r="P722">
        <v>42.24</v>
      </c>
      <c r="Q722">
        <v>43.35</v>
      </c>
      <c r="R722">
        <v>42.89</v>
      </c>
      <c r="S722">
        <v>42.42</v>
      </c>
      <c r="T722">
        <v>39.58</v>
      </c>
      <c r="U722">
        <v>38.71</v>
      </c>
      <c r="V722">
        <v>38.65</v>
      </c>
      <c r="W722">
        <v>38.619999999999997</v>
      </c>
    </row>
    <row r="723" spans="1:23" x14ac:dyDescent="0.35">
      <c r="A723" s="2" t="s">
        <v>641</v>
      </c>
      <c r="B723">
        <v>101.81</v>
      </c>
      <c r="C723">
        <v>100.49</v>
      </c>
      <c r="D723">
        <v>101.87</v>
      </c>
      <c r="E723">
        <v>104.94</v>
      </c>
      <c r="F723">
        <v>105</v>
      </c>
      <c r="G723">
        <v>104.44</v>
      </c>
      <c r="H723">
        <v>104.25</v>
      </c>
      <c r="I723">
        <v>104.94</v>
      </c>
      <c r="J723">
        <v>105.32</v>
      </c>
      <c r="K723">
        <v>107.94</v>
      </c>
      <c r="L723">
        <v>109.26</v>
      </c>
      <c r="M723">
        <v>111.26</v>
      </c>
      <c r="N723">
        <v>113.14</v>
      </c>
      <c r="O723">
        <v>112.95</v>
      </c>
      <c r="P723">
        <v>112.58</v>
      </c>
      <c r="Q723">
        <v>111.7</v>
      </c>
      <c r="R723">
        <v>110.57</v>
      </c>
      <c r="S723">
        <v>112.64</v>
      </c>
      <c r="T723">
        <v>112.89</v>
      </c>
      <c r="U723">
        <v>114.64</v>
      </c>
      <c r="V723">
        <v>114.27</v>
      </c>
      <c r="W723">
        <v>115.15</v>
      </c>
    </row>
    <row r="724" spans="1:23" x14ac:dyDescent="0.35">
      <c r="A724" s="2" t="s">
        <v>642</v>
      </c>
      <c r="B724">
        <v>34.909999999999997</v>
      </c>
      <c r="C724">
        <v>34.909999999999997</v>
      </c>
      <c r="D724">
        <v>35.090000000000003</v>
      </c>
      <c r="E724">
        <v>35.78</v>
      </c>
      <c r="F724">
        <v>36.65</v>
      </c>
      <c r="G724">
        <v>36.299999999999997</v>
      </c>
      <c r="H724">
        <v>36.36</v>
      </c>
      <c r="I724">
        <v>36.89</v>
      </c>
      <c r="J724">
        <v>37.25</v>
      </c>
      <c r="K724">
        <v>38.18</v>
      </c>
      <c r="L724">
        <v>39.78</v>
      </c>
      <c r="M724">
        <v>40.93</v>
      </c>
      <c r="N724">
        <v>41.47</v>
      </c>
      <c r="O724">
        <v>41.47</v>
      </c>
      <c r="P724">
        <v>41.33</v>
      </c>
      <c r="Q724">
        <v>40.950000000000003</v>
      </c>
      <c r="R724">
        <v>39.72</v>
      </c>
      <c r="S724">
        <v>41.41</v>
      </c>
      <c r="T724">
        <v>40.950000000000003</v>
      </c>
      <c r="U724">
        <v>41.94</v>
      </c>
      <c r="V724">
        <v>41.94</v>
      </c>
      <c r="W724">
        <v>42.36</v>
      </c>
    </row>
    <row r="725" spans="1:23" x14ac:dyDescent="0.35">
      <c r="A725" s="2" t="s">
        <v>643</v>
      </c>
      <c r="B725">
        <v>2.65</v>
      </c>
      <c r="C725">
        <v>2.63</v>
      </c>
      <c r="D725">
        <v>2.74</v>
      </c>
      <c r="E725">
        <v>2.74</v>
      </c>
      <c r="F725">
        <v>2.78</v>
      </c>
      <c r="G725">
        <v>2.79</v>
      </c>
      <c r="H725">
        <v>2.79</v>
      </c>
      <c r="I725">
        <v>2.77</v>
      </c>
      <c r="J725">
        <v>2.77</v>
      </c>
      <c r="K725">
        <v>2.77</v>
      </c>
      <c r="L725">
        <v>2.79</v>
      </c>
      <c r="M725">
        <v>2.78</v>
      </c>
      <c r="N725">
        <v>2.74</v>
      </c>
      <c r="O725">
        <v>2.72</v>
      </c>
      <c r="P725">
        <v>2.72</v>
      </c>
      <c r="Q725">
        <v>2.72</v>
      </c>
      <c r="R725">
        <v>2.73</v>
      </c>
      <c r="S725">
        <v>2.71</v>
      </c>
      <c r="T725">
        <v>2.59</v>
      </c>
      <c r="U725">
        <v>2.63</v>
      </c>
      <c r="V725">
        <v>2.58</v>
      </c>
      <c r="W725">
        <v>2.61</v>
      </c>
    </row>
    <row r="726" spans="1:23" x14ac:dyDescent="0.35">
      <c r="A726" s="2" t="s">
        <v>644</v>
      </c>
      <c r="B726">
        <v>0.36</v>
      </c>
      <c r="C726">
        <v>0.37</v>
      </c>
      <c r="D726">
        <v>0.37</v>
      </c>
      <c r="E726">
        <v>0.37</v>
      </c>
      <c r="F726">
        <v>0.38</v>
      </c>
      <c r="G726">
        <v>0.37</v>
      </c>
      <c r="H726">
        <v>0.37</v>
      </c>
      <c r="I726">
        <v>0.36</v>
      </c>
      <c r="J726">
        <v>0.36</v>
      </c>
      <c r="K726">
        <v>0.36</v>
      </c>
      <c r="L726">
        <v>0.34</v>
      </c>
      <c r="M726">
        <v>0.36</v>
      </c>
      <c r="N726">
        <v>0.34</v>
      </c>
      <c r="O726">
        <v>0.35</v>
      </c>
      <c r="P726">
        <v>0.36</v>
      </c>
      <c r="Q726">
        <v>0.39</v>
      </c>
      <c r="R726">
        <v>0.39</v>
      </c>
      <c r="S726">
        <v>0.39</v>
      </c>
      <c r="T726">
        <v>0.38</v>
      </c>
      <c r="U726">
        <v>0.39</v>
      </c>
      <c r="V726">
        <v>0.39</v>
      </c>
      <c r="W726">
        <v>0.39</v>
      </c>
    </row>
    <row r="727" spans="1:23" x14ac:dyDescent="0.35">
      <c r="A727" s="2" t="s">
        <v>869</v>
      </c>
      <c r="B727">
        <v>841.8</v>
      </c>
      <c r="C727">
        <v>852.21</v>
      </c>
      <c r="D727">
        <v>871.19</v>
      </c>
      <c r="E727">
        <v>892.01</v>
      </c>
      <c r="F727">
        <v>899.96</v>
      </c>
      <c r="G727">
        <v>907.92</v>
      </c>
      <c r="H727">
        <v>904.86</v>
      </c>
      <c r="I727">
        <v>897.52</v>
      </c>
      <c r="J727">
        <v>893.84</v>
      </c>
      <c r="K727">
        <v>895.68</v>
      </c>
      <c r="L727">
        <v>888.94</v>
      </c>
      <c r="M727">
        <v>881.6</v>
      </c>
      <c r="N727">
        <v>877.31</v>
      </c>
      <c r="O727">
        <v>874.25</v>
      </c>
      <c r="P727">
        <v>870.58</v>
      </c>
      <c r="Q727">
        <v>863.84</v>
      </c>
      <c r="R727">
        <v>854.66</v>
      </c>
      <c r="S727">
        <v>844.25</v>
      </c>
      <c r="T727">
        <v>836.29</v>
      </c>
      <c r="U727">
        <v>834.46</v>
      </c>
      <c r="V727">
        <v>834.46</v>
      </c>
      <c r="W727">
        <v>836.29</v>
      </c>
    </row>
    <row r="728" spans="1:23" x14ac:dyDescent="0.35">
      <c r="A728" s="2" t="s">
        <v>645</v>
      </c>
      <c r="B728">
        <v>13.69</v>
      </c>
      <c r="C728">
        <v>14.18</v>
      </c>
      <c r="D728">
        <v>14.77</v>
      </c>
      <c r="E728">
        <v>15.99</v>
      </c>
      <c r="F728">
        <v>17.68</v>
      </c>
      <c r="G728">
        <v>18.079999999999998</v>
      </c>
      <c r="H728">
        <v>18.78</v>
      </c>
      <c r="I728">
        <v>19</v>
      </c>
      <c r="J728">
        <v>18.399999999999999</v>
      </c>
      <c r="K728">
        <v>17.559999999999999</v>
      </c>
      <c r="L728">
        <v>17.46</v>
      </c>
      <c r="M728">
        <v>17.07</v>
      </c>
      <c r="N728">
        <v>15.9</v>
      </c>
      <c r="O728">
        <v>15.7</v>
      </c>
      <c r="P728">
        <v>15.29</v>
      </c>
      <c r="Q728">
        <v>15.19</v>
      </c>
      <c r="R728">
        <v>14.91</v>
      </c>
      <c r="S728">
        <v>14.29</v>
      </c>
      <c r="T728">
        <v>14.7</v>
      </c>
      <c r="U728">
        <v>14.98</v>
      </c>
      <c r="V728">
        <v>15.13</v>
      </c>
      <c r="W728">
        <v>15.52</v>
      </c>
    </row>
    <row r="729" spans="1:23" x14ac:dyDescent="0.35">
      <c r="A729" s="2" t="s">
        <v>646</v>
      </c>
      <c r="B729">
        <v>4.7300000000000004</v>
      </c>
      <c r="C729">
        <v>4.53</v>
      </c>
      <c r="D729">
        <v>4.5599999999999996</v>
      </c>
      <c r="E729">
        <v>4.5599999999999996</v>
      </c>
      <c r="F729">
        <v>4.7300000000000004</v>
      </c>
      <c r="G729">
        <v>4.68</v>
      </c>
      <c r="H729">
        <v>4.6100000000000003</v>
      </c>
      <c r="I729">
        <v>4.5199999999999996</v>
      </c>
      <c r="J729">
        <v>4.5</v>
      </c>
      <c r="K729">
        <v>4.49</v>
      </c>
      <c r="L729">
        <v>4.4400000000000004</v>
      </c>
      <c r="M729">
        <v>4.41</v>
      </c>
      <c r="N729">
        <v>4.38</v>
      </c>
      <c r="O729">
        <v>4.32</v>
      </c>
      <c r="P729">
        <v>4.3499999999999996</v>
      </c>
      <c r="Q729">
        <v>4.3</v>
      </c>
      <c r="R729">
        <v>4.26</v>
      </c>
      <c r="S729">
        <v>4.2300000000000004</v>
      </c>
      <c r="T729">
        <v>4.2</v>
      </c>
      <c r="U729">
        <v>4.25</v>
      </c>
      <c r="V729">
        <v>4.29</v>
      </c>
      <c r="W729">
        <v>4.33</v>
      </c>
    </row>
    <row r="730" spans="1:23" x14ac:dyDescent="0.35">
      <c r="A730" s="2" t="s">
        <v>647</v>
      </c>
      <c r="B730">
        <v>1.48</v>
      </c>
      <c r="C730">
        <v>1.51</v>
      </c>
      <c r="D730">
        <v>1.65</v>
      </c>
      <c r="E730">
        <v>1.76</v>
      </c>
      <c r="F730">
        <v>1.74</v>
      </c>
      <c r="G730">
        <v>1.72</v>
      </c>
      <c r="H730">
        <v>1.7</v>
      </c>
      <c r="I730">
        <v>1.64</v>
      </c>
      <c r="J730">
        <v>1.58</v>
      </c>
      <c r="K730">
        <v>1.56</v>
      </c>
      <c r="L730">
        <v>1.5</v>
      </c>
      <c r="M730">
        <v>1.5</v>
      </c>
      <c r="N730">
        <v>1.5</v>
      </c>
      <c r="O730">
        <v>1.53</v>
      </c>
      <c r="P730">
        <v>1.54</v>
      </c>
      <c r="Q730">
        <v>1.52</v>
      </c>
      <c r="R730">
        <v>1.53</v>
      </c>
      <c r="S730">
        <v>1.47</v>
      </c>
      <c r="T730">
        <v>1.43</v>
      </c>
      <c r="U730">
        <v>1.44</v>
      </c>
      <c r="V730">
        <v>1.54</v>
      </c>
      <c r="W730">
        <v>1.51</v>
      </c>
    </row>
    <row r="731" spans="1:23" x14ac:dyDescent="0.35">
      <c r="A731" s="2" t="s">
        <v>648</v>
      </c>
      <c r="B731">
        <v>6.41</v>
      </c>
      <c r="C731">
        <v>7.04</v>
      </c>
      <c r="D731">
        <v>7.15</v>
      </c>
      <c r="E731">
        <v>7.4</v>
      </c>
      <c r="F731">
        <v>7.4</v>
      </c>
      <c r="G731">
        <v>7.92</v>
      </c>
      <c r="H731">
        <v>8.27</v>
      </c>
      <c r="I731">
        <v>8.3800000000000008</v>
      </c>
      <c r="J731">
        <v>8.81</v>
      </c>
      <c r="K731">
        <v>8.9499999999999993</v>
      </c>
      <c r="L731">
        <v>9.56</v>
      </c>
      <c r="M731">
        <v>9.58</v>
      </c>
      <c r="N731">
        <v>9.08</v>
      </c>
      <c r="O731">
        <v>8.8699999999999992</v>
      </c>
      <c r="P731">
        <v>9.0299999999999994</v>
      </c>
      <c r="Q731">
        <v>8.73</v>
      </c>
      <c r="R731">
        <v>8.08</v>
      </c>
      <c r="S731">
        <v>7.93</v>
      </c>
      <c r="T731">
        <v>7.83</v>
      </c>
      <c r="U731">
        <v>7.75</v>
      </c>
      <c r="V731">
        <v>7.14</v>
      </c>
      <c r="W731">
        <v>7.43</v>
      </c>
    </row>
    <row r="732" spans="1:23" x14ac:dyDescent="0.35">
      <c r="A732" s="2" t="s">
        <v>649</v>
      </c>
      <c r="B732">
        <v>10.02</v>
      </c>
      <c r="C732">
        <v>10.02</v>
      </c>
      <c r="D732">
        <v>10.039999999999999</v>
      </c>
      <c r="E732">
        <v>10.31</v>
      </c>
      <c r="F732">
        <v>11.16</v>
      </c>
      <c r="G732">
        <v>11.84</v>
      </c>
      <c r="H732">
        <v>12.16</v>
      </c>
      <c r="I732">
        <v>12.34</v>
      </c>
      <c r="J732">
        <v>12.52</v>
      </c>
      <c r="K732">
        <v>12.62</v>
      </c>
      <c r="L732">
        <v>12.38</v>
      </c>
      <c r="M732">
        <v>12.46</v>
      </c>
      <c r="N732">
        <v>12.69</v>
      </c>
      <c r="O732">
        <v>12.61</v>
      </c>
      <c r="P732">
        <v>12.38</v>
      </c>
      <c r="Q732">
        <v>12.4</v>
      </c>
      <c r="R732">
        <v>12.44</v>
      </c>
      <c r="S732">
        <v>12.55</v>
      </c>
      <c r="T732">
        <v>12.43</v>
      </c>
      <c r="U732">
        <v>12.3</v>
      </c>
      <c r="V732">
        <v>12.19</v>
      </c>
      <c r="W732">
        <v>12.65</v>
      </c>
    </row>
    <row r="733" spans="1:23" x14ac:dyDescent="0.35">
      <c r="A733" s="2" t="s">
        <v>650</v>
      </c>
      <c r="B733">
        <v>68.97</v>
      </c>
      <c r="C733">
        <v>70.459999999999994</v>
      </c>
      <c r="D733">
        <v>73.349999999999994</v>
      </c>
      <c r="E733">
        <v>75.38</v>
      </c>
      <c r="F733">
        <v>76.25</v>
      </c>
      <c r="G733">
        <v>75.81</v>
      </c>
      <c r="H733">
        <v>73.739999999999995</v>
      </c>
      <c r="I733">
        <v>71.81</v>
      </c>
      <c r="J733">
        <v>72.34</v>
      </c>
      <c r="K733">
        <v>71.81</v>
      </c>
      <c r="L733">
        <v>70.41</v>
      </c>
      <c r="M733">
        <v>69.45</v>
      </c>
      <c r="N733">
        <v>69.88</v>
      </c>
      <c r="O733">
        <v>70.849999999999994</v>
      </c>
      <c r="P733">
        <v>69.98</v>
      </c>
      <c r="Q733">
        <v>69.209999999999994</v>
      </c>
      <c r="R733">
        <v>68.25</v>
      </c>
      <c r="S733">
        <v>67.28</v>
      </c>
      <c r="T733">
        <v>65.69</v>
      </c>
      <c r="U733">
        <v>65.739999999999995</v>
      </c>
      <c r="V733">
        <v>65.31</v>
      </c>
      <c r="W733">
        <v>64.63</v>
      </c>
    </row>
    <row r="734" spans="1:23" x14ac:dyDescent="0.35">
      <c r="A734" s="2" t="s">
        <v>651</v>
      </c>
      <c r="B734">
        <v>47.8</v>
      </c>
      <c r="C734">
        <v>49.19</v>
      </c>
      <c r="D734">
        <v>49.37</v>
      </c>
      <c r="E734">
        <v>49.41</v>
      </c>
      <c r="F734">
        <v>49.33</v>
      </c>
      <c r="G734">
        <v>50.17</v>
      </c>
      <c r="H734">
        <v>50.5</v>
      </c>
      <c r="I734">
        <v>50.68</v>
      </c>
      <c r="J734">
        <v>50.61</v>
      </c>
      <c r="K734">
        <v>50.1</v>
      </c>
      <c r="L734">
        <v>50.06</v>
      </c>
      <c r="M734">
        <v>49.81</v>
      </c>
      <c r="N734">
        <v>48.93</v>
      </c>
      <c r="O734">
        <v>48.53</v>
      </c>
      <c r="P734">
        <v>48.39</v>
      </c>
      <c r="Q734">
        <v>46.93</v>
      </c>
      <c r="R734">
        <v>46.6</v>
      </c>
      <c r="S734">
        <v>45.83</v>
      </c>
      <c r="T734">
        <v>45.07</v>
      </c>
      <c r="U734">
        <v>45.4</v>
      </c>
      <c r="V734">
        <v>45.29</v>
      </c>
      <c r="W734">
        <v>45.25</v>
      </c>
    </row>
    <row r="735" spans="1:23" x14ac:dyDescent="0.35">
      <c r="A735" s="2" t="s">
        <v>652</v>
      </c>
      <c r="B735">
        <v>9.8000000000000007</v>
      </c>
      <c r="C735">
        <v>9.85</v>
      </c>
      <c r="D735">
        <v>10.38</v>
      </c>
      <c r="E735">
        <v>10.65</v>
      </c>
      <c r="F735">
        <v>10.63</v>
      </c>
      <c r="G735">
        <v>10.72</v>
      </c>
      <c r="H735">
        <v>10.82</v>
      </c>
      <c r="I735">
        <v>10.84</v>
      </c>
      <c r="J735">
        <v>10.71</v>
      </c>
      <c r="K735">
        <v>10.79</v>
      </c>
      <c r="L735">
        <v>10.83</v>
      </c>
      <c r="M735">
        <v>10.77</v>
      </c>
      <c r="N735">
        <v>10.71</v>
      </c>
      <c r="O735">
        <v>10.66</v>
      </c>
      <c r="P735">
        <v>10.65</v>
      </c>
      <c r="Q735">
        <v>10.53</v>
      </c>
      <c r="R735">
        <v>10.48</v>
      </c>
      <c r="S735">
        <v>10.51</v>
      </c>
      <c r="T735">
        <v>10.42</v>
      </c>
      <c r="U735">
        <v>10.41</v>
      </c>
      <c r="V735">
        <v>10.47</v>
      </c>
      <c r="W735">
        <v>10.57</v>
      </c>
    </row>
    <row r="736" spans="1:23" x14ac:dyDescent="0.35">
      <c r="A736" s="2" t="s">
        <v>653</v>
      </c>
      <c r="B736">
        <v>0.75</v>
      </c>
      <c r="C736">
        <v>0.83</v>
      </c>
      <c r="D736">
        <v>0.86</v>
      </c>
      <c r="E736">
        <v>0.95</v>
      </c>
      <c r="F736">
        <v>0.97</v>
      </c>
      <c r="G736">
        <v>0.98</v>
      </c>
      <c r="H736">
        <v>1.02</v>
      </c>
      <c r="I736">
        <v>1.01</v>
      </c>
      <c r="J736">
        <v>1.04</v>
      </c>
      <c r="K736">
        <v>1.04</v>
      </c>
      <c r="L736">
        <v>1.06</v>
      </c>
      <c r="M736">
        <v>1.07</v>
      </c>
      <c r="N736">
        <v>1.07</v>
      </c>
      <c r="O736">
        <v>1.1000000000000001</v>
      </c>
      <c r="P736">
        <v>1.05</v>
      </c>
      <c r="Q736">
        <v>1.0900000000000001</v>
      </c>
      <c r="R736">
        <v>1.1100000000000001</v>
      </c>
      <c r="S736">
        <v>1.0900000000000001</v>
      </c>
      <c r="T736">
        <v>1.1299999999999999</v>
      </c>
      <c r="U736">
        <v>1.1399999999999999</v>
      </c>
      <c r="V736">
        <v>1.1599999999999999</v>
      </c>
      <c r="W736">
        <v>1.17</v>
      </c>
    </row>
    <row r="737" spans="1:23" x14ac:dyDescent="0.35">
      <c r="A737" s="2" t="s">
        <v>654</v>
      </c>
      <c r="B737">
        <v>1.38</v>
      </c>
      <c r="C737">
        <v>1.43</v>
      </c>
      <c r="D737">
        <v>1.44</v>
      </c>
      <c r="E737">
        <v>1.47</v>
      </c>
      <c r="F737">
        <v>1.47</v>
      </c>
      <c r="G737">
        <v>1.47</v>
      </c>
      <c r="H737">
        <v>1.47</v>
      </c>
      <c r="I737">
        <v>1.48</v>
      </c>
      <c r="J737">
        <v>1.47</v>
      </c>
      <c r="K737">
        <v>1.48</v>
      </c>
      <c r="L737">
        <v>1.49</v>
      </c>
      <c r="M737">
        <v>1.5</v>
      </c>
      <c r="N737">
        <v>1.5</v>
      </c>
      <c r="O737">
        <v>1.52</v>
      </c>
      <c r="P737">
        <v>1.51</v>
      </c>
      <c r="Q737">
        <v>1.51</v>
      </c>
      <c r="R737">
        <v>1.52</v>
      </c>
      <c r="S737">
        <v>1.5</v>
      </c>
      <c r="T737">
        <v>1.51</v>
      </c>
      <c r="U737">
        <v>1.48</v>
      </c>
      <c r="V737">
        <v>1.48</v>
      </c>
      <c r="W737">
        <v>1.48</v>
      </c>
    </row>
    <row r="738" spans="1:23" x14ac:dyDescent="0.35">
      <c r="A738" s="2" t="s">
        <v>655</v>
      </c>
      <c r="B738">
        <v>2.1</v>
      </c>
      <c r="C738">
        <v>2.08</v>
      </c>
      <c r="D738">
        <v>2.12</v>
      </c>
      <c r="E738">
        <v>2.17</v>
      </c>
      <c r="F738">
        <v>2.2000000000000002</v>
      </c>
      <c r="G738">
        <v>2.19</v>
      </c>
      <c r="H738">
        <v>2.27</v>
      </c>
      <c r="I738">
        <v>2.17</v>
      </c>
      <c r="J738">
        <v>2.1800000000000002</v>
      </c>
      <c r="K738">
        <v>2.3199999999999998</v>
      </c>
      <c r="L738">
        <v>2.34</v>
      </c>
      <c r="M738">
        <v>2.2999999999999998</v>
      </c>
      <c r="N738">
        <v>2.14</v>
      </c>
      <c r="O738">
        <v>2.15</v>
      </c>
      <c r="P738">
        <v>2.11</v>
      </c>
      <c r="Q738">
        <v>2.09</v>
      </c>
      <c r="R738">
        <v>2.15</v>
      </c>
      <c r="S738">
        <v>2.09</v>
      </c>
      <c r="T738">
        <v>2.04</v>
      </c>
      <c r="U738">
        <v>1.96</v>
      </c>
      <c r="V738">
        <v>2</v>
      </c>
      <c r="W738">
        <v>1.96</v>
      </c>
    </row>
    <row r="739" spans="1:23" x14ac:dyDescent="0.35">
      <c r="A739" s="2" t="s">
        <v>656</v>
      </c>
      <c r="B739">
        <v>2.84</v>
      </c>
      <c r="C739">
        <v>2.84</v>
      </c>
      <c r="D739">
        <v>2.84</v>
      </c>
      <c r="E739">
        <v>2.84</v>
      </c>
      <c r="F739">
        <v>2.82</v>
      </c>
      <c r="G739">
        <v>2.83</v>
      </c>
      <c r="H739">
        <v>2.83</v>
      </c>
      <c r="I739">
        <v>2.85</v>
      </c>
      <c r="J739">
        <v>2.89</v>
      </c>
      <c r="K739">
        <v>2.89</v>
      </c>
      <c r="L739">
        <v>2.86</v>
      </c>
      <c r="M739">
        <v>2.88</v>
      </c>
      <c r="N739">
        <v>2.87</v>
      </c>
      <c r="O739">
        <v>2.9</v>
      </c>
      <c r="P739">
        <v>2.9</v>
      </c>
      <c r="Q739">
        <v>3.01</v>
      </c>
      <c r="R739">
        <v>3.01</v>
      </c>
      <c r="S739">
        <v>3.05</v>
      </c>
      <c r="T739">
        <v>3.12</v>
      </c>
      <c r="U739">
        <v>3.12</v>
      </c>
      <c r="V739">
        <v>3.12</v>
      </c>
      <c r="W739">
        <v>3.12</v>
      </c>
    </row>
    <row r="740" spans="1:23" x14ac:dyDescent="0.35">
      <c r="A740" s="2" t="s">
        <v>657</v>
      </c>
      <c r="B740">
        <v>0.93</v>
      </c>
      <c r="C740">
        <v>0.93</v>
      </c>
      <c r="D740">
        <v>0.92</v>
      </c>
      <c r="E740">
        <v>0.95</v>
      </c>
      <c r="F740">
        <v>0.96</v>
      </c>
      <c r="G740">
        <v>0.98</v>
      </c>
      <c r="H740">
        <v>0.98</v>
      </c>
      <c r="I740">
        <v>0.98</v>
      </c>
      <c r="J740">
        <v>0.98</v>
      </c>
      <c r="K740">
        <v>0.98</v>
      </c>
      <c r="L740">
        <v>0.98</v>
      </c>
      <c r="M740">
        <v>0.98</v>
      </c>
      <c r="N740">
        <v>0.98</v>
      </c>
      <c r="O740">
        <v>0.98</v>
      </c>
      <c r="P740">
        <v>0.98</v>
      </c>
      <c r="Q740">
        <v>0.98</v>
      </c>
      <c r="R740">
        <v>1.01</v>
      </c>
      <c r="S740">
        <v>1.01</v>
      </c>
      <c r="T740">
        <v>1</v>
      </c>
      <c r="U740">
        <v>1.01</v>
      </c>
      <c r="V740">
        <v>1.01</v>
      </c>
      <c r="W740">
        <v>1.01</v>
      </c>
    </row>
    <row r="741" spans="1:23" x14ac:dyDescent="0.35">
      <c r="A741" s="2" t="s">
        <v>658</v>
      </c>
      <c r="B741">
        <v>13.8</v>
      </c>
      <c r="C741">
        <v>13.85</v>
      </c>
      <c r="D741">
        <v>14.46</v>
      </c>
      <c r="E741">
        <v>14.83</v>
      </c>
      <c r="F741">
        <v>15.09</v>
      </c>
      <c r="G741">
        <v>15.5</v>
      </c>
      <c r="H741">
        <v>15.92</v>
      </c>
      <c r="I741">
        <v>16.02</v>
      </c>
      <c r="J741">
        <v>15.91</v>
      </c>
      <c r="K741">
        <v>16.03</v>
      </c>
      <c r="L741">
        <v>15.91</v>
      </c>
      <c r="M741">
        <v>15.97</v>
      </c>
      <c r="N741">
        <v>15.81</v>
      </c>
      <c r="O741">
        <v>15.58</v>
      </c>
      <c r="P741">
        <v>15.6</v>
      </c>
      <c r="Q741">
        <v>15.4</v>
      </c>
      <c r="R741">
        <v>15.13</v>
      </c>
      <c r="S741">
        <v>14.98</v>
      </c>
      <c r="T741">
        <v>14.73</v>
      </c>
      <c r="U741">
        <v>14.57</v>
      </c>
      <c r="V741">
        <v>14.3</v>
      </c>
      <c r="W741">
        <v>14.2</v>
      </c>
    </row>
    <row r="742" spans="1:23" x14ac:dyDescent="0.35">
      <c r="A742" s="2" t="s">
        <v>659</v>
      </c>
      <c r="B742">
        <v>10.73</v>
      </c>
      <c r="C742">
        <v>10.99</v>
      </c>
      <c r="D742">
        <v>11.15</v>
      </c>
      <c r="E742">
        <v>11.31</v>
      </c>
      <c r="F742">
        <v>11.26</v>
      </c>
      <c r="G742">
        <v>11.59</v>
      </c>
      <c r="H742">
        <v>11.54</v>
      </c>
      <c r="I742">
        <v>11.4</v>
      </c>
      <c r="J742">
        <v>11.48</v>
      </c>
      <c r="K742">
        <v>11.11</v>
      </c>
      <c r="L742">
        <v>10.96</v>
      </c>
      <c r="M742">
        <v>10.88</v>
      </c>
      <c r="N742">
        <v>10.84</v>
      </c>
      <c r="O742">
        <v>10.82</v>
      </c>
      <c r="P742">
        <v>10.68</v>
      </c>
      <c r="Q742">
        <v>10.71</v>
      </c>
      <c r="R742">
        <v>10.74</v>
      </c>
      <c r="S742">
        <v>10.42</v>
      </c>
      <c r="T742">
        <v>10.36</v>
      </c>
      <c r="U742">
        <v>10.51</v>
      </c>
      <c r="V742">
        <v>10.5</v>
      </c>
      <c r="W742">
        <v>10.4</v>
      </c>
    </row>
    <row r="743" spans="1:23" x14ac:dyDescent="0.35">
      <c r="A743" s="2" t="s">
        <v>660</v>
      </c>
      <c r="B743">
        <v>0.56999999999999995</v>
      </c>
      <c r="C743">
        <v>0.55000000000000004</v>
      </c>
      <c r="D743">
        <v>0.56000000000000005</v>
      </c>
      <c r="E743">
        <v>0.55000000000000004</v>
      </c>
      <c r="F743">
        <v>0.55000000000000004</v>
      </c>
      <c r="G743">
        <v>0.56000000000000005</v>
      </c>
      <c r="H743">
        <v>0.57999999999999996</v>
      </c>
      <c r="I743">
        <v>0.59</v>
      </c>
      <c r="J743">
        <v>0.59</v>
      </c>
      <c r="K743">
        <v>0.6</v>
      </c>
      <c r="L743">
        <v>0.6</v>
      </c>
      <c r="M743">
        <v>0.6</v>
      </c>
      <c r="N743">
        <v>0.59</v>
      </c>
      <c r="O743">
        <v>0.59</v>
      </c>
      <c r="P743">
        <v>0.59</v>
      </c>
      <c r="Q743">
        <v>0.57999999999999996</v>
      </c>
      <c r="R743">
        <v>0.52</v>
      </c>
      <c r="S743">
        <v>0.52</v>
      </c>
      <c r="T743">
        <v>0.51</v>
      </c>
      <c r="U743">
        <v>0.5</v>
      </c>
      <c r="V743">
        <v>0.5</v>
      </c>
      <c r="W743">
        <v>0.5</v>
      </c>
    </row>
    <row r="744" spans="1:23" x14ac:dyDescent="0.35">
      <c r="A744" s="2" t="s">
        <v>661</v>
      </c>
      <c r="B744">
        <v>10.050000000000001</v>
      </c>
      <c r="C744">
        <v>10.06</v>
      </c>
      <c r="D744">
        <v>10.09</v>
      </c>
      <c r="E744">
        <v>10.16</v>
      </c>
      <c r="F744">
        <v>10.16</v>
      </c>
      <c r="G744">
        <v>10.15</v>
      </c>
      <c r="H744">
        <v>10.33</v>
      </c>
      <c r="I744">
        <v>10.28</v>
      </c>
      <c r="J744">
        <v>10.3</v>
      </c>
      <c r="K744">
        <v>10.33</v>
      </c>
      <c r="L744">
        <v>10.19</v>
      </c>
      <c r="M744">
        <v>10.220000000000001</v>
      </c>
      <c r="N744">
        <v>10.210000000000001</v>
      </c>
      <c r="O744">
        <v>10.19</v>
      </c>
      <c r="P744">
        <v>10.26</v>
      </c>
      <c r="Q744">
        <v>10.31</v>
      </c>
      <c r="R744">
        <v>10.34</v>
      </c>
      <c r="S744">
        <v>10.32</v>
      </c>
      <c r="T744">
        <v>10.36</v>
      </c>
      <c r="U744">
        <v>10.42</v>
      </c>
      <c r="V744">
        <v>10.44</v>
      </c>
      <c r="W744">
        <v>10.47</v>
      </c>
    </row>
    <row r="745" spans="1:23" x14ac:dyDescent="0.35">
      <c r="A745" s="2" t="s">
        <v>662</v>
      </c>
      <c r="B745">
        <v>53.46</v>
      </c>
      <c r="C745">
        <v>53.81</v>
      </c>
      <c r="D745">
        <v>53.58</v>
      </c>
      <c r="E745">
        <v>53.62</v>
      </c>
      <c r="F745">
        <v>53.89</v>
      </c>
      <c r="G745">
        <v>54.75</v>
      </c>
      <c r="H745">
        <v>55.1</v>
      </c>
      <c r="I745">
        <v>54.98</v>
      </c>
      <c r="J745">
        <v>55.84</v>
      </c>
      <c r="K745">
        <v>55.84</v>
      </c>
      <c r="L745">
        <v>55.56</v>
      </c>
      <c r="M745">
        <v>55.56</v>
      </c>
      <c r="N745">
        <v>54.9</v>
      </c>
      <c r="O745">
        <v>55.29</v>
      </c>
      <c r="P745">
        <v>54.82</v>
      </c>
      <c r="Q745">
        <v>55.76</v>
      </c>
      <c r="R745">
        <v>55.48</v>
      </c>
      <c r="S745">
        <v>55.72</v>
      </c>
      <c r="T745">
        <v>55.21</v>
      </c>
      <c r="U745">
        <v>55.37</v>
      </c>
      <c r="V745">
        <v>55.52</v>
      </c>
      <c r="W745">
        <v>55.8</v>
      </c>
    </row>
    <row r="746" spans="1:23" x14ac:dyDescent="0.35">
      <c r="A746" s="2" t="s">
        <v>663</v>
      </c>
      <c r="B746">
        <v>13.13</v>
      </c>
      <c r="C746">
        <v>13.19</v>
      </c>
      <c r="D746">
        <v>12.76</v>
      </c>
      <c r="E746">
        <v>12.86</v>
      </c>
      <c r="F746">
        <v>12.97</v>
      </c>
      <c r="G746">
        <v>13.15</v>
      </c>
      <c r="H746">
        <v>13.62</v>
      </c>
      <c r="I746">
        <v>13.85</v>
      </c>
      <c r="J746">
        <v>14.21</v>
      </c>
      <c r="K746">
        <v>14.28</v>
      </c>
      <c r="L746">
        <v>14.17</v>
      </c>
      <c r="M746">
        <v>14.07</v>
      </c>
      <c r="N746">
        <v>14.21</v>
      </c>
      <c r="O746">
        <v>13.95</v>
      </c>
      <c r="P746">
        <v>13.99</v>
      </c>
      <c r="Q746">
        <v>13.99</v>
      </c>
      <c r="R746">
        <v>13.96</v>
      </c>
      <c r="S746">
        <v>13.98</v>
      </c>
      <c r="T746">
        <v>13.95</v>
      </c>
      <c r="U746">
        <v>13.99</v>
      </c>
      <c r="V746">
        <v>13.93</v>
      </c>
      <c r="W746">
        <v>13.84</v>
      </c>
    </row>
    <row r="747" spans="1:23" x14ac:dyDescent="0.35">
      <c r="A747" s="2" t="s">
        <v>664</v>
      </c>
      <c r="B747">
        <v>1.07</v>
      </c>
      <c r="C747">
        <v>1.08</v>
      </c>
      <c r="D747">
        <v>1.08</v>
      </c>
      <c r="E747">
        <v>1.0900000000000001</v>
      </c>
      <c r="F747">
        <v>1.0900000000000001</v>
      </c>
      <c r="G747">
        <v>1.0900000000000001</v>
      </c>
      <c r="H747">
        <v>1.1200000000000001</v>
      </c>
      <c r="I747">
        <v>1.1299999999999999</v>
      </c>
      <c r="J747">
        <v>1.1299999999999999</v>
      </c>
      <c r="K747">
        <v>1.1200000000000001</v>
      </c>
      <c r="L747">
        <v>1.1299999999999999</v>
      </c>
      <c r="M747">
        <v>1.1299999999999999</v>
      </c>
      <c r="N747">
        <v>1.1299999999999999</v>
      </c>
      <c r="O747">
        <v>1.1299999999999999</v>
      </c>
      <c r="P747">
        <v>1.1299999999999999</v>
      </c>
      <c r="Q747">
        <v>1.1299999999999999</v>
      </c>
      <c r="R747">
        <v>1.1200000000000001</v>
      </c>
      <c r="S747">
        <v>1.1000000000000001</v>
      </c>
      <c r="T747">
        <v>1.0900000000000001</v>
      </c>
      <c r="U747">
        <v>1.1000000000000001</v>
      </c>
      <c r="V747">
        <v>1.1000000000000001</v>
      </c>
      <c r="W747">
        <v>1.1100000000000001</v>
      </c>
    </row>
    <row r="748" spans="1:23" x14ac:dyDescent="0.35">
      <c r="A748" s="2" t="s">
        <v>665</v>
      </c>
      <c r="B748">
        <v>1.65</v>
      </c>
      <c r="C748">
        <v>1.63</v>
      </c>
      <c r="D748">
        <v>1.61</v>
      </c>
      <c r="E748">
        <v>1.62</v>
      </c>
      <c r="F748">
        <v>1.62</v>
      </c>
      <c r="G748">
        <v>1.61</v>
      </c>
      <c r="H748">
        <v>1.62</v>
      </c>
      <c r="I748">
        <v>1.61</v>
      </c>
      <c r="J748">
        <v>1.61</v>
      </c>
      <c r="K748">
        <v>1.57</v>
      </c>
      <c r="L748">
        <v>1.54</v>
      </c>
      <c r="M748">
        <v>1.56</v>
      </c>
      <c r="N748">
        <v>1.56</v>
      </c>
      <c r="O748">
        <v>1.54</v>
      </c>
      <c r="P748">
        <v>1.75</v>
      </c>
      <c r="Q748">
        <v>1.74</v>
      </c>
      <c r="R748">
        <v>1.72</v>
      </c>
      <c r="S748">
        <v>1.77</v>
      </c>
      <c r="T748">
        <v>1.77</v>
      </c>
      <c r="U748">
        <v>1.77</v>
      </c>
      <c r="V748">
        <v>1.77</v>
      </c>
      <c r="W748">
        <v>1.78</v>
      </c>
    </row>
    <row r="749" spans="1:23" x14ac:dyDescent="0.35">
      <c r="A749" s="2" t="s">
        <v>666</v>
      </c>
      <c r="B749">
        <v>1.99</v>
      </c>
      <c r="C749">
        <v>1.98</v>
      </c>
      <c r="D749">
        <v>1.98</v>
      </c>
      <c r="E749">
        <v>2</v>
      </c>
      <c r="F749">
        <v>2.02</v>
      </c>
      <c r="G749">
        <v>2.0499999999999998</v>
      </c>
      <c r="H749">
        <v>2.08</v>
      </c>
      <c r="I749">
        <v>2.0699999999999998</v>
      </c>
      <c r="J749">
        <v>2.0699999999999998</v>
      </c>
      <c r="K749">
        <v>2.08</v>
      </c>
      <c r="L749">
        <v>2.09</v>
      </c>
      <c r="M749">
        <v>2.08</v>
      </c>
      <c r="N749">
        <v>2.1</v>
      </c>
      <c r="O749">
        <v>2.1</v>
      </c>
      <c r="P749">
        <v>2.12</v>
      </c>
      <c r="Q749">
        <v>2.11</v>
      </c>
      <c r="R749">
        <v>2.12</v>
      </c>
      <c r="S749">
        <v>2.14</v>
      </c>
      <c r="T749">
        <v>2.15</v>
      </c>
      <c r="U749">
        <v>2.15</v>
      </c>
      <c r="V749">
        <v>2.17</v>
      </c>
      <c r="W749">
        <v>2.1800000000000002</v>
      </c>
    </row>
    <row r="750" spans="1:23" x14ac:dyDescent="0.35">
      <c r="A750" s="2" t="s">
        <v>870</v>
      </c>
      <c r="B750">
        <v>194.23</v>
      </c>
      <c r="C750">
        <v>194.1</v>
      </c>
      <c r="D750">
        <v>199.89</v>
      </c>
      <c r="E750">
        <v>203.35</v>
      </c>
      <c r="F750">
        <v>203.21</v>
      </c>
      <c r="G750">
        <v>201.14</v>
      </c>
      <c r="H750">
        <v>198.79</v>
      </c>
      <c r="I750">
        <v>194.51</v>
      </c>
      <c r="J750">
        <v>194.23</v>
      </c>
      <c r="K750">
        <v>194.1</v>
      </c>
      <c r="L750">
        <v>191.61</v>
      </c>
      <c r="M750">
        <v>191.61</v>
      </c>
      <c r="N750">
        <v>192.3</v>
      </c>
      <c r="O750">
        <v>192.44</v>
      </c>
      <c r="P750">
        <v>191.75</v>
      </c>
      <c r="Q750">
        <v>191.34</v>
      </c>
      <c r="R750">
        <v>189.4</v>
      </c>
      <c r="S750">
        <v>188.85</v>
      </c>
      <c r="T750">
        <v>188.71</v>
      </c>
      <c r="U750">
        <v>188.85</v>
      </c>
      <c r="V750">
        <v>190.78</v>
      </c>
      <c r="W750">
        <v>189.26</v>
      </c>
    </row>
    <row r="751" spans="1:23" x14ac:dyDescent="0.35">
      <c r="A751" s="2" t="s">
        <v>667</v>
      </c>
      <c r="B751">
        <v>41.63</v>
      </c>
      <c r="C751">
        <v>42.09</v>
      </c>
      <c r="D751">
        <v>44.15</v>
      </c>
      <c r="E751">
        <v>44.9</v>
      </c>
      <c r="F751">
        <v>45.27</v>
      </c>
      <c r="G751">
        <v>44.36</v>
      </c>
      <c r="H751">
        <v>44.33</v>
      </c>
      <c r="I751">
        <v>43.36</v>
      </c>
      <c r="J751">
        <v>43.72</v>
      </c>
      <c r="K751">
        <v>43.39</v>
      </c>
      <c r="L751">
        <v>43.48</v>
      </c>
      <c r="M751">
        <v>44.21</v>
      </c>
      <c r="N751">
        <v>43.42</v>
      </c>
      <c r="O751">
        <v>43.9</v>
      </c>
      <c r="P751">
        <v>43.27</v>
      </c>
      <c r="Q751">
        <v>43.36</v>
      </c>
      <c r="R751">
        <v>43.12</v>
      </c>
      <c r="S751">
        <v>43.51</v>
      </c>
      <c r="T751">
        <v>43.6</v>
      </c>
      <c r="U751">
        <v>42.99</v>
      </c>
      <c r="V751">
        <v>45.11</v>
      </c>
      <c r="W751">
        <v>44.69</v>
      </c>
    </row>
    <row r="752" spans="1:23" x14ac:dyDescent="0.35">
      <c r="A752" s="2" t="s">
        <v>668</v>
      </c>
      <c r="B752">
        <v>1.17</v>
      </c>
      <c r="C752">
        <v>1.18</v>
      </c>
      <c r="D752">
        <v>1.1599999999999999</v>
      </c>
      <c r="E752">
        <v>1.17</v>
      </c>
      <c r="F752">
        <v>1.18</v>
      </c>
      <c r="G752">
        <v>1.1399999999999999</v>
      </c>
      <c r="H752">
        <v>1.1599999999999999</v>
      </c>
      <c r="I752">
        <v>1.18</v>
      </c>
      <c r="J752">
        <v>1.19</v>
      </c>
      <c r="K752">
        <v>1.2</v>
      </c>
      <c r="L752">
        <v>1.19</v>
      </c>
      <c r="M752">
        <v>1.18</v>
      </c>
      <c r="N752">
        <v>1.1399999999999999</v>
      </c>
      <c r="O752">
        <v>1.1499999999999999</v>
      </c>
      <c r="P752">
        <v>1.1399999999999999</v>
      </c>
      <c r="Q752">
        <v>1.1100000000000001</v>
      </c>
      <c r="R752">
        <v>1.0900000000000001</v>
      </c>
      <c r="S752">
        <v>1.1299999999999999</v>
      </c>
      <c r="T752">
        <v>1.1299999999999999</v>
      </c>
      <c r="U752">
        <v>1.1100000000000001</v>
      </c>
      <c r="V752">
        <v>1.0900000000000001</v>
      </c>
      <c r="W752">
        <v>1.18</v>
      </c>
    </row>
    <row r="753" spans="1:23" x14ac:dyDescent="0.35">
      <c r="A753" s="2" t="s">
        <v>669</v>
      </c>
      <c r="B753">
        <v>1.17</v>
      </c>
      <c r="C753">
        <v>1.18</v>
      </c>
      <c r="D753">
        <v>1.19</v>
      </c>
      <c r="E753">
        <v>1.22</v>
      </c>
      <c r="F753">
        <v>1.22</v>
      </c>
      <c r="G753">
        <v>1.24</v>
      </c>
      <c r="H753">
        <v>1.24</v>
      </c>
      <c r="I753">
        <v>1.26</v>
      </c>
      <c r="J753">
        <v>1.29</v>
      </c>
      <c r="K753">
        <v>1.27</v>
      </c>
      <c r="L753">
        <v>1.27</v>
      </c>
      <c r="M753">
        <v>1.26</v>
      </c>
      <c r="N753">
        <v>1.26</v>
      </c>
      <c r="O753">
        <v>1.28</v>
      </c>
      <c r="P753">
        <v>1.26</v>
      </c>
      <c r="Q753">
        <v>1.26</v>
      </c>
      <c r="R753">
        <v>1.27</v>
      </c>
      <c r="S753">
        <v>1.29</v>
      </c>
      <c r="T753">
        <v>1.28</v>
      </c>
      <c r="U753">
        <v>1.29</v>
      </c>
      <c r="V753">
        <v>1.28</v>
      </c>
      <c r="W753">
        <v>1.3</v>
      </c>
    </row>
    <row r="754" spans="1:23" x14ac:dyDescent="0.35">
      <c r="A754" s="2" t="s">
        <v>871</v>
      </c>
      <c r="B754">
        <v>15.46</v>
      </c>
      <c r="C754">
        <v>15.73</v>
      </c>
      <c r="D754">
        <v>15.54</v>
      </c>
      <c r="E754">
        <v>15.95</v>
      </c>
      <c r="F754">
        <v>16.010000000000002</v>
      </c>
      <c r="G754">
        <v>16.489999999999998</v>
      </c>
      <c r="H754">
        <v>16.32</v>
      </c>
      <c r="I754">
        <v>15.6</v>
      </c>
      <c r="J754">
        <v>15.88</v>
      </c>
      <c r="K754">
        <v>16.07</v>
      </c>
      <c r="L754">
        <v>16.399999999999999</v>
      </c>
      <c r="M754">
        <v>16.190000000000001</v>
      </c>
      <c r="N754">
        <v>15.64</v>
      </c>
      <c r="O754">
        <v>15.3</v>
      </c>
      <c r="P754">
        <v>15.21</v>
      </c>
      <c r="Q754">
        <v>15.7</v>
      </c>
      <c r="R754">
        <v>15.24</v>
      </c>
      <c r="S754">
        <v>15.3</v>
      </c>
      <c r="T754">
        <v>14.59</v>
      </c>
      <c r="U754">
        <v>14.54</v>
      </c>
      <c r="V754">
        <v>15.34</v>
      </c>
      <c r="W754">
        <v>15.31</v>
      </c>
    </row>
    <row r="755" spans="1:23" x14ac:dyDescent="0.35">
      <c r="A755" s="2" t="s">
        <v>670</v>
      </c>
      <c r="B755">
        <v>38.21</v>
      </c>
      <c r="C755">
        <v>38.01</v>
      </c>
      <c r="D755">
        <v>38.35</v>
      </c>
      <c r="E755">
        <v>38.74</v>
      </c>
      <c r="F755">
        <v>40.86</v>
      </c>
      <c r="G755">
        <v>43</v>
      </c>
      <c r="H755">
        <v>42.64</v>
      </c>
      <c r="I755">
        <v>43.06</v>
      </c>
      <c r="J755">
        <v>42.95</v>
      </c>
      <c r="K755">
        <v>43.06</v>
      </c>
      <c r="L755">
        <v>43.09</v>
      </c>
      <c r="M755">
        <v>43.03</v>
      </c>
      <c r="N755">
        <v>42.69</v>
      </c>
      <c r="O755">
        <v>42.75</v>
      </c>
      <c r="P755">
        <v>42.13</v>
      </c>
      <c r="Q755">
        <v>41.71</v>
      </c>
      <c r="R755">
        <v>41.76</v>
      </c>
      <c r="S755">
        <v>41.56</v>
      </c>
      <c r="T755">
        <v>41.25</v>
      </c>
      <c r="U755">
        <v>41.17</v>
      </c>
      <c r="V755">
        <v>40.630000000000003</v>
      </c>
      <c r="W755">
        <v>41.11</v>
      </c>
    </row>
    <row r="756" spans="1:23" x14ac:dyDescent="0.35">
      <c r="A756" s="2" t="s">
        <v>671</v>
      </c>
      <c r="B756">
        <v>22.82</v>
      </c>
      <c r="C756">
        <v>21.91</v>
      </c>
      <c r="D756">
        <v>21.08</v>
      </c>
      <c r="E756">
        <v>22.93</v>
      </c>
      <c r="F756">
        <v>22.99</v>
      </c>
      <c r="G756">
        <v>23.02</v>
      </c>
      <c r="H756">
        <v>23.47</v>
      </c>
      <c r="I756">
        <v>23.79</v>
      </c>
      <c r="J756">
        <v>23.36</v>
      </c>
      <c r="K756">
        <v>23.31</v>
      </c>
      <c r="L756">
        <v>23.31</v>
      </c>
      <c r="M756">
        <v>23.09</v>
      </c>
      <c r="N756">
        <v>24.67</v>
      </c>
      <c r="O756">
        <v>24.96</v>
      </c>
      <c r="P756">
        <v>23.94</v>
      </c>
      <c r="Q756">
        <v>25.21</v>
      </c>
      <c r="R756">
        <v>24.96</v>
      </c>
      <c r="S756">
        <v>24.94</v>
      </c>
      <c r="T756">
        <v>24.89</v>
      </c>
      <c r="U756">
        <v>24.67</v>
      </c>
      <c r="V756">
        <v>24.76</v>
      </c>
      <c r="W756">
        <v>24.8</v>
      </c>
    </row>
    <row r="757" spans="1:23" x14ac:dyDescent="0.35">
      <c r="A757" s="2" t="s">
        <v>672</v>
      </c>
      <c r="B757">
        <v>8.14</v>
      </c>
      <c r="C757">
        <v>8.27</v>
      </c>
      <c r="D757">
        <v>8.6</v>
      </c>
      <c r="E757">
        <v>8.77</v>
      </c>
      <c r="F757">
        <v>9.0500000000000007</v>
      </c>
      <c r="G757">
        <v>8.98</v>
      </c>
      <c r="H757">
        <v>8.93</v>
      </c>
      <c r="I757">
        <v>8.9499999999999993</v>
      </c>
      <c r="J757">
        <v>8.9700000000000006</v>
      </c>
      <c r="K757">
        <v>9.0399999999999991</v>
      </c>
      <c r="L757">
        <v>9.08</v>
      </c>
      <c r="M757">
        <v>9.18</v>
      </c>
      <c r="N757">
        <v>9.09</v>
      </c>
      <c r="O757">
        <v>8.92</v>
      </c>
      <c r="P757">
        <v>8.86</v>
      </c>
      <c r="Q757">
        <v>8.86</v>
      </c>
      <c r="R757">
        <v>8.86</v>
      </c>
      <c r="S757">
        <v>8.7899999999999991</v>
      </c>
      <c r="T757">
        <v>8.7899999999999991</v>
      </c>
      <c r="U757">
        <v>8.9600000000000009</v>
      </c>
      <c r="V757">
        <v>9.16</v>
      </c>
      <c r="W757">
        <v>9.26</v>
      </c>
    </row>
    <row r="758" spans="1:23" x14ac:dyDescent="0.35">
      <c r="A758" s="2" t="s">
        <v>872</v>
      </c>
      <c r="B758">
        <v>35.61</v>
      </c>
      <c r="C758">
        <v>35.83</v>
      </c>
      <c r="D758">
        <v>36.130000000000003</v>
      </c>
      <c r="E758">
        <v>36.409999999999997</v>
      </c>
      <c r="F758">
        <v>36.79</v>
      </c>
      <c r="G758">
        <v>36.71</v>
      </c>
      <c r="H758">
        <v>36.85</v>
      </c>
      <c r="I758">
        <v>37.01</v>
      </c>
      <c r="J758">
        <v>36.68</v>
      </c>
      <c r="K758">
        <v>36.85</v>
      </c>
      <c r="L758">
        <v>37.01</v>
      </c>
      <c r="M758">
        <v>37.07</v>
      </c>
      <c r="N758">
        <v>36.85</v>
      </c>
      <c r="O758">
        <v>37.200000000000003</v>
      </c>
      <c r="P758">
        <v>37.18</v>
      </c>
      <c r="Q758">
        <v>37.78</v>
      </c>
      <c r="R758">
        <v>37.729999999999997</v>
      </c>
      <c r="S758">
        <v>37.67</v>
      </c>
      <c r="T758">
        <v>37.97</v>
      </c>
      <c r="U758">
        <v>37.97</v>
      </c>
      <c r="V758">
        <v>37.92</v>
      </c>
      <c r="W758">
        <v>37.75</v>
      </c>
    </row>
    <row r="759" spans="1:23" x14ac:dyDescent="0.35">
      <c r="A759" s="2" t="s">
        <v>673</v>
      </c>
      <c r="B759">
        <v>13.74</v>
      </c>
      <c r="C759">
        <v>13.71</v>
      </c>
      <c r="D759">
        <v>14.08</v>
      </c>
      <c r="E759">
        <v>14.27</v>
      </c>
      <c r="F759">
        <v>14.3</v>
      </c>
      <c r="G759">
        <v>14.31</v>
      </c>
      <c r="H759">
        <v>14.27</v>
      </c>
      <c r="I759">
        <v>14.14</v>
      </c>
      <c r="J759">
        <v>14.05</v>
      </c>
      <c r="K759">
        <v>14.16</v>
      </c>
      <c r="L759">
        <v>14.13</v>
      </c>
      <c r="M759">
        <v>14.28</v>
      </c>
      <c r="N759">
        <v>14.3</v>
      </c>
      <c r="O759">
        <v>14.38</v>
      </c>
      <c r="P759">
        <v>14.45</v>
      </c>
      <c r="Q759">
        <v>14.75</v>
      </c>
      <c r="R759">
        <v>14.88</v>
      </c>
      <c r="S759">
        <v>14.84</v>
      </c>
      <c r="T759">
        <v>14.84</v>
      </c>
      <c r="U759">
        <v>14.88</v>
      </c>
      <c r="V759">
        <v>14.74</v>
      </c>
      <c r="W759">
        <v>14.81</v>
      </c>
    </row>
    <row r="760" spans="1:23" x14ac:dyDescent="0.35">
      <c r="A760" s="2" t="s">
        <v>674</v>
      </c>
      <c r="B760">
        <v>12</v>
      </c>
      <c r="C760">
        <v>12.01</v>
      </c>
      <c r="D760">
        <v>12.04</v>
      </c>
      <c r="E760">
        <v>11.96</v>
      </c>
      <c r="F760">
        <v>12.18</v>
      </c>
      <c r="G760">
        <v>12.03</v>
      </c>
      <c r="H760">
        <v>12.12</v>
      </c>
      <c r="I760">
        <v>12.38</v>
      </c>
      <c r="J760">
        <v>12.16</v>
      </c>
      <c r="K760">
        <v>12</v>
      </c>
      <c r="L760">
        <v>12.12</v>
      </c>
      <c r="M760">
        <v>12.07</v>
      </c>
      <c r="N760">
        <v>11.99</v>
      </c>
      <c r="O760">
        <v>12.19</v>
      </c>
      <c r="P760">
        <v>12.12</v>
      </c>
      <c r="Q760">
        <v>12.31</v>
      </c>
      <c r="R760">
        <v>12.14</v>
      </c>
      <c r="S760">
        <v>12.11</v>
      </c>
      <c r="T760">
        <v>12.42</v>
      </c>
      <c r="U760">
        <v>12.33</v>
      </c>
      <c r="V760">
        <v>12.28</v>
      </c>
      <c r="W760">
        <v>12.2</v>
      </c>
    </row>
    <row r="761" spans="1:23" x14ac:dyDescent="0.35">
      <c r="A761" s="2" t="s">
        <v>675</v>
      </c>
      <c r="B761">
        <v>5.67</v>
      </c>
      <c r="C761">
        <v>5.83</v>
      </c>
      <c r="D761">
        <v>5.7</v>
      </c>
      <c r="E761">
        <v>5.81</v>
      </c>
      <c r="F761">
        <v>5.82</v>
      </c>
      <c r="G761">
        <v>5.79</v>
      </c>
      <c r="H761">
        <v>5.93</v>
      </c>
      <c r="I761">
        <v>5.96</v>
      </c>
      <c r="J761">
        <v>5.94</v>
      </c>
      <c r="K761">
        <v>6.14</v>
      </c>
      <c r="L761">
        <v>6.17</v>
      </c>
      <c r="M761">
        <v>6.09</v>
      </c>
      <c r="N761">
        <v>5.93</v>
      </c>
      <c r="O761">
        <v>5.99</v>
      </c>
      <c r="P761">
        <v>5.94</v>
      </c>
      <c r="Q761">
        <v>6.06</v>
      </c>
      <c r="R761">
        <v>5.96</v>
      </c>
      <c r="S761">
        <v>5.98</v>
      </c>
      <c r="T761">
        <v>6</v>
      </c>
      <c r="U761">
        <v>6.04</v>
      </c>
      <c r="V761">
        <v>6.1</v>
      </c>
      <c r="W761">
        <v>5.95</v>
      </c>
    </row>
    <row r="762" spans="1:23" x14ac:dyDescent="0.35">
      <c r="A762" s="2" t="s">
        <v>676</v>
      </c>
      <c r="B762">
        <v>3.77</v>
      </c>
      <c r="C762">
        <v>3.71</v>
      </c>
      <c r="D762">
        <v>3.91</v>
      </c>
      <c r="E762">
        <v>4.05</v>
      </c>
      <c r="F762">
        <v>3.76</v>
      </c>
      <c r="G762">
        <v>3.49</v>
      </c>
      <c r="H762">
        <v>3.44</v>
      </c>
      <c r="I762">
        <v>3.26</v>
      </c>
      <c r="J762">
        <v>3.26</v>
      </c>
      <c r="K762">
        <v>3.14</v>
      </c>
      <c r="L762">
        <v>3.17</v>
      </c>
      <c r="M762">
        <v>3.15</v>
      </c>
      <c r="N762">
        <v>3.2</v>
      </c>
      <c r="O762">
        <v>3.25</v>
      </c>
      <c r="P762">
        <v>3.28</v>
      </c>
      <c r="Q762">
        <v>3.24</v>
      </c>
      <c r="R762">
        <v>3.21</v>
      </c>
      <c r="S762">
        <v>3.17</v>
      </c>
      <c r="T762">
        <v>3.12</v>
      </c>
      <c r="U762">
        <v>3.09</v>
      </c>
      <c r="V762">
        <v>3.09</v>
      </c>
      <c r="W762">
        <v>3.11</v>
      </c>
    </row>
    <row r="763" spans="1:23" x14ac:dyDescent="0.35">
      <c r="A763" s="2" t="s">
        <v>677</v>
      </c>
      <c r="B763">
        <v>33.04</v>
      </c>
      <c r="C763">
        <v>31.28</v>
      </c>
      <c r="D763">
        <v>34.33</v>
      </c>
      <c r="E763">
        <v>36.229999999999997</v>
      </c>
      <c r="F763">
        <v>34.64</v>
      </c>
      <c r="G763">
        <v>29.3</v>
      </c>
      <c r="H763">
        <v>28.85</v>
      </c>
      <c r="I763">
        <v>27.48</v>
      </c>
      <c r="J763">
        <v>26.24</v>
      </c>
      <c r="K763">
        <v>25.85</v>
      </c>
      <c r="L763">
        <v>24.81</v>
      </c>
      <c r="M763">
        <v>24.64</v>
      </c>
      <c r="N763">
        <v>25.22</v>
      </c>
      <c r="O763">
        <v>25.46</v>
      </c>
      <c r="P763">
        <v>25.52</v>
      </c>
      <c r="Q763">
        <v>25.48</v>
      </c>
      <c r="R763">
        <v>25.38</v>
      </c>
      <c r="S763">
        <v>24.77</v>
      </c>
      <c r="T763">
        <v>23.7</v>
      </c>
      <c r="U763">
        <v>23.19</v>
      </c>
      <c r="V763">
        <v>23.76</v>
      </c>
      <c r="W763">
        <v>23.27</v>
      </c>
    </row>
    <row r="764" spans="1:23" x14ac:dyDescent="0.35">
      <c r="A764" s="2" t="s">
        <v>678</v>
      </c>
      <c r="B764">
        <v>17.77</v>
      </c>
      <c r="C764">
        <v>18</v>
      </c>
      <c r="D764">
        <v>17.77</v>
      </c>
      <c r="E764">
        <v>17.53</v>
      </c>
      <c r="F764">
        <v>17.53</v>
      </c>
      <c r="G764">
        <v>18.7</v>
      </c>
      <c r="H764">
        <v>18.7</v>
      </c>
      <c r="I764">
        <v>18.22</v>
      </c>
      <c r="J764">
        <v>18.7</v>
      </c>
      <c r="K764">
        <v>19.170000000000002</v>
      </c>
      <c r="L764">
        <v>19.170000000000002</v>
      </c>
      <c r="M764">
        <v>19.170000000000002</v>
      </c>
      <c r="N764">
        <v>19.170000000000002</v>
      </c>
      <c r="O764">
        <v>19.170000000000002</v>
      </c>
      <c r="P764">
        <v>19.170000000000002</v>
      </c>
      <c r="Q764">
        <v>19.170000000000002</v>
      </c>
      <c r="R764">
        <v>19.170000000000002</v>
      </c>
      <c r="S764">
        <v>19.170000000000002</v>
      </c>
      <c r="T764">
        <v>19.62</v>
      </c>
      <c r="U764">
        <v>20.66</v>
      </c>
      <c r="V764">
        <v>20.45</v>
      </c>
      <c r="W764">
        <v>20.45</v>
      </c>
    </row>
    <row r="765" spans="1:23" x14ac:dyDescent="0.35">
      <c r="A765" s="2" t="s">
        <v>679</v>
      </c>
      <c r="B765">
        <v>1.61</v>
      </c>
      <c r="C765">
        <v>1.72</v>
      </c>
      <c r="D765">
        <v>1.93</v>
      </c>
      <c r="E765">
        <v>2.0099999999999998</v>
      </c>
      <c r="F765">
        <v>1.96</v>
      </c>
      <c r="G765">
        <v>1.79</v>
      </c>
      <c r="H765">
        <v>1.78</v>
      </c>
      <c r="I765">
        <v>1.8</v>
      </c>
      <c r="J765">
        <v>1.77</v>
      </c>
      <c r="K765">
        <v>1.77</v>
      </c>
      <c r="L765">
        <v>1.74</v>
      </c>
      <c r="M765">
        <v>1.71</v>
      </c>
      <c r="N765">
        <v>1.73</v>
      </c>
      <c r="O765">
        <v>1.79</v>
      </c>
      <c r="P765">
        <v>1.79</v>
      </c>
      <c r="Q765">
        <v>1.78</v>
      </c>
      <c r="R765">
        <v>1.74</v>
      </c>
      <c r="S765">
        <v>1.69</v>
      </c>
      <c r="T765">
        <v>1.65</v>
      </c>
      <c r="U765">
        <v>1.61</v>
      </c>
      <c r="V765">
        <v>1.67</v>
      </c>
      <c r="W765">
        <v>1.67</v>
      </c>
    </row>
    <row r="766" spans="1:23" x14ac:dyDescent="0.35">
      <c r="A766" s="2" t="s">
        <v>680</v>
      </c>
      <c r="B766">
        <v>6.79</v>
      </c>
      <c r="C766">
        <v>6.8</v>
      </c>
      <c r="D766">
        <v>6.73</v>
      </c>
      <c r="E766">
        <v>6.81</v>
      </c>
      <c r="F766">
        <v>7</v>
      </c>
      <c r="G766">
        <v>6.73</v>
      </c>
      <c r="H766">
        <v>6.74</v>
      </c>
      <c r="I766">
        <v>7.08</v>
      </c>
      <c r="J766">
        <v>7.08</v>
      </c>
      <c r="K766">
        <v>7.1</v>
      </c>
      <c r="L766">
        <v>7.12</v>
      </c>
      <c r="M766">
        <v>6.88</v>
      </c>
      <c r="N766">
        <v>6.87</v>
      </c>
      <c r="O766">
        <v>7.2</v>
      </c>
      <c r="P766">
        <v>6.88</v>
      </c>
      <c r="Q766">
        <v>6.75</v>
      </c>
      <c r="R766">
        <v>6.83</v>
      </c>
      <c r="S766">
        <v>6.84</v>
      </c>
      <c r="T766">
        <v>6.84</v>
      </c>
      <c r="U766">
        <v>7.01</v>
      </c>
      <c r="V766">
        <v>7.17</v>
      </c>
      <c r="W766">
        <v>7.01</v>
      </c>
    </row>
    <row r="767" spans="1:23" x14ac:dyDescent="0.35">
      <c r="A767" s="2" t="s">
        <v>681</v>
      </c>
      <c r="B767">
        <v>7.86</v>
      </c>
      <c r="C767">
        <v>8.27</v>
      </c>
      <c r="D767">
        <v>8.7799999999999994</v>
      </c>
      <c r="E767">
        <v>9.0299999999999994</v>
      </c>
      <c r="F767">
        <v>8.59</v>
      </c>
      <c r="G767">
        <v>8.3699999999999992</v>
      </c>
      <c r="H767">
        <v>8.48</v>
      </c>
      <c r="I767">
        <v>8.4600000000000009</v>
      </c>
      <c r="J767">
        <v>8.48</v>
      </c>
      <c r="K767">
        <v>8.58</v>
      </c>
      <c r="L767">
        <v>8.26</v>
      </c>
      <c r="M767">
        <v>8.1300000000000008</v>
      </c>
      <c r="N767">
        <v>8.39</v>
      </c>
      <c r="O767">
        <v>8.33</v>
      </c>
      <c r="P767">
        <v>8.34</v>
      </c>
      <c r="Q767">
        <v>8.31</v>
      </c>
      <c r="R767">
        <v>8.1999999999999993</v>
      </c>
      <c r="S767">
        <v>8.0399999999999991</v>
      </c>
      <c r="T767">
        <v>7.83</v>
      </c>
      <c r="U767">
        <v>7.86</v>
      </c>
      <c r="V767">
        <v>8.06</v>
      </c>
      <c r="W767">
        <v>8.01</v>
      </c>
    </row>
    <row r="768" spans="1:23" x14ac:dyDescent="0.35">
      <c r="A768" s="2" t="s">
        <v>682</v>
      </c>
      <c r="B768">
        <v>32.78</v>
      </c>
      <c r="C768">
        <v>33.44</v>
      </c>
      <c r="D768">
        <v>34.4</v>
      </c>
      <c r="E768">
        <v>36.64</v>
      </c>
      <c r="F768">
        <v>35.42</v>
      </c>
      <c r="G768">
        <v>34.880000000000003</v>
      </c>
      <c r="H768">
        <v>34.82</v>
      </c>
      <c r="I768">
        <v>34.94</v>
      </c>
      <c r="J768">
        <v>35.340000000000003</v>
      </c>
      <c r="K768">
        <v>35.14</v>
      </c>
      <c r="L768">
        <v>34.74</v>
      </c>
      <c r="M768">
        <v>34.4</v>
      </c>
      <c r="N768">
        <v>35.08</v>
      </c>
      <c r="O768">
        <v>35.06</v>
      </c>
      <c r="P768">
        <v>34.78</v>
      </c>
      <c r="Q768">
        <v>34.5</v>
      </c>
      <c r="R768">
        <v>34.08</v>
      </c>
      <c r="S768">
        <v>33.96</v>
      </c>
      <c r="T768">
        <v>33.82</v>
      </c>
      <c r="U768">
        <v>33.58</v>
      </c>
      <c r="V768">
        <v>33.92</v>
      </c>
      <c r="W768">
        <v>34.18</v>
      </c>
    </row>
    <row r="769" spans="1:23" x14ac:dyDescent="0.35">
      <c r="A769" s="2" t="s">
        <v>683</v>
      </c>
      <c r="B769">
        <v>32.68</v>
      </c>
      <c r="C769">
        <v>33.340000000000003</v>
      </c>
      <c r="D769">
        <v>34.299999999999997</v>
      </c>
      <c r="E769">
        <v>36.549999999999997</v>
      </c>
      <c r="F769">
        <v>35.31</v>
      </c>
      <c r="G769">
        <v>34.78</v>
      </c>
      <c r="H769">
        <v>34.72</v>
      </c>
      <c r="I769">
        <v>34.86</v>
      </c>
      <c r="J769">
        <v>35.25</v>
      </c>
      <c r="K769">
        <v>35.04</v>
      </c>
      <c r="L769">
        <v>34.64</v>
      </c>
      <c r="M769">
        <v>34.299999999999997</v>
      </c>
      <c r="N769">
        <v>35</v>
      </c>
      <c r="O769">
        <v>34.979999999999997</v>
      </c>
      <c r="P769">
        <v>34.68</v>
      </c>
      <c r="Q769">
        <v>34.4</v>
      </c>
      <c r="R769">
        <v>33.979999999999997</v>
      </c>
      <c r="S769">
        <v>33.86</v>
      </c>
      <c r="T769">
        <v>33.72</v>
      </c>
      <c r="U769">
        <v>33.479999999999997</v>
      </c>
      <c r="V769">
        <v>33.840000000000003</v>
      </c>
      <c r="W769">
        <v>34.08</v>
      </c>
    </row>
    <row r="770" spans="1:23" x14ac:dyDescent="0.35">
      <c r="A770" s="2" t="s">
        <v>873</v>
      </c>
      <c r="B770">
        <v>242.33</v>
      </c>
      <c r="C770">
        <v>248.65</v>
      </c>
      <c r="D770">
        <v>258.64</v>
      </c>
      <c r="E770">
        <v>259.97000000000003</v>
      </c>
      <c r="F770">
        <v>255.14</v>
      </c>
      <c r="G770">
        <v>249.32</v>
      </c>
      <c r="H770">
        <v>240.17</v>
      </c>
      <c r="I770">
        <v>236</v>
      </c>
      <c r="J770">
        <v>231.68</v>
      </c>
      <c r="K770">
        <v>234.84</v>
      </c>
      <c r="L770">
        <v>234.01</v>
      </c>
      <c r="M770">
        <v>238.33</v>
      </c>
      <c r="N770">
        <v>243.99</v>
      </c>
      <c r="O770">
        <v>245.82</v>
      </c>
      <c r="P770">
        <v>244.66</v>
      </c>
      <c r="Q770">
        <v>244.33</v>
      </c>
      <c r="R770">
        <v>242.99</v>
      </c>
      <c r="S770">
        <v>240</v>
      </c>
      <c r="T770">
        <v>239.17</v>
      </c>
      <c r="U770">
        <v>239.17</v>
      </c>
      <c r="V770">
        <v>240.5</v>
      </c>
      <c r="W770">
        <v>239.5</v>
      </c>
    </row>
    <row r="771" spans="1:23" x14ac:dyDescent="0.35">
      <c r="A771" s="2" t="s">
        <v>684</v>
      </c>
      <c r="B771">
        <v>15.85</v>
      </c>
      <c r="C771">
        <v>15.98</v>
      </c>
      <c r="D771">
        <v>16.309999999999999</v>
      </c>
      <c r="E771">
        <v>16.41</v>
      </c>
      <c r="F771">
        <v>16.16</v>
      </c>
      <c r="G771">
        <v>16</v>
      </c>
      <c r="H771">
        <v>14.96</v>
      </c>
      <c r="I771">
        <v>14.91</v>
      </c>
      <c r="J771">
        <v>15.06</v>
      </c>
      <c r="K771">
        <v>14.88</v>
      </c>
      <c r="L771">
        <v>14.99</v>
      </c>
      <c r="M771">
        <v>15.33</v>
      </c>
      <c r="N771">
        <v>15.58</v>
      </c>
      <c r="O771">
        <v>16.16</v>
      </c>
      <c r="P771">
        <v>16.22</v>
      </c>
      <c r="Q771">
        <v>16.12</v>
      </c>
      <c r="R771">
        <v>15.91</v>
      </c>
      <c r="S771">
        <v>15.73</v>
      </c>
      <c r="T771">
        <v>15.74</v>
      </c>
      <c r="U771">
        <v>15.74</v>
      </c>
      <c r="V771">
        <v>15.67</v>
      </c>
      <c r="W771">
        <v>15.56</v>
      </c>
    </row>
    <row r="772" spans="1:23" x14ac:dyDescent="0.35">
      <c r="A772" s="2" t="s">
        <v>685</v>
      </c>
      <c r="B772">
        <v>3.54</v>
      </c>
      <c r="C772">
        <v>3.57</v>
      </c>
      <c r="D772">
        <v>3.69</v>
      </c>
      <c r="E772">
        <v>3.76</v>
      </c>
      <c r="F772">
        <v>3.72</v>
      </c>
      <c r="G772">
        <v>3.72</v>
      </c>
      <c r="H772">
        <v>3.57</v>
      </c>
      <c r="I772">
        <v>3.66</v>
      </c>
      <c r="J772">
        <v>3.54</v>
      </c>
      <c r="K772">
        <v>3.46</v>
      </c>
      <c r="L772">
        <v>3.46</v>
      </c>
      <c r="M772">
        <v>3.51</v>
      </c>
      <c r="N772">
        <v>3.54</v>
      </c>
      <c r="O772">
        <v>3.54</v>
      </c>
      <c r="P772">
        <v>3.5</v>
      </c>
      <c r="Q772">
        <v>3.41</v>
      </c>
      <c r="R772">
        <v>3.37</v>
      </c>
      <c r="S772">
        <v>3.28</v>
      </c>
      <c r="T772">
        <v>3.29</v>
      </c>
      <c r="U772">
        <v>3.3</v>
      </c>
      <c r="V772">
        <v>3.23</v>
      </c>
      <c r="W772">
        <v>3.26</v>
      </c>
    </row>
    <row r="773" spans="1:23" x14ac:dyDescent="0.35">
      <c r="A773" s="2" t="s">
        <v>686</v>
      </c>
      <c r="B773">
        <v>31.99</v>
      </c>
      <c r="C773">
        <v>33.369999999999997</v>
      </c>
      <c r="D773">
        <v>34.369999999999997</v>
      </c>
      <c r="E773">
        <v>34.58</v>
      </c>
      <c r="F773">
        <v>34.159999999999997</v>
      </c>
      <c r="G773">
        <v>33.06</v>
      </c>
      <c r="H773">
        <v>32.369999999999997</v>
      </c>
      <c r="I773">
        <v>32.26</v>
      </c>
      <c r="J773">
        <v>31.63</v>
      </c>
      <c r="K773">
        <v>31.51</v>
      </c>
      <c r="L773">
        <v>31.53</v>
      </c>
      <c r="M773">
        <v>31.65</v>
      </c>
      <c r="N773">
        <v>32.03</v>
      </c>
      <c r="O773">
        <v>32.26</v>
      </c>
      <c r="P773">
        <v>31.45</v>
      </c>
      <c r="Q773">
        <v>31.65</v>
      </c>
      <c r="R773">
        <v>31.47</v>
      </c>
      <c r="S773">
        <v>31.38</v>
      </c>
      <c r="T773">
        <v>31.19</v>
      </c>
      <c r="U773">
        <v>30.88</v>
      </c>
      <c r="V773">
        <v>31.17</v>
      </c>
      <c r="W773">
        <v>31.38</v>
      </c>
    </row>
    <row r="774" spans="1:23" x14ac:dyDescent="0.35">
      <c r="A774" s="2" t="s">
        <v>687</v>
      </c>
      <c r="B774">
        <v>1.63</v>
      </c>
      <c r="C774">
        <v>1.65</v>
      </c>
      <c r="D774">
        <v>1.7</v>
      </c>
      <c r="E774">
        <v>1.74</v>
      </c>
      <c r="F774">
        <v>1.71</v>
      </c>
      <c r="G774">
        <v>1.68</v>
      </c>
      <c r="H774">
        <v>1.64</v>
      </c>
      <c r="I774">
        <v>1.58</v>
      </c>
      <c r="J774">
        <v>1.58</v>
      </c>
      <c r="K774">
        <v>1.56</v>
      </c>
      <c r="L774">
        <v>1.56</v>
      </c>
      <c r="M774">
        <v>1.58</v>
      </c>
      <c r="N774">
        <v>1.6</v>
      </c>
      <c r="O774">
        <v>1.63</v>
      </c>
      <c r="P774">
        <v>1.64</v>
      </c>
      <c r="Q774">
        <v>1.69</v>
      </c>
      <c r="R774">
        <v>1.67</v>
      </c>
      <c r="S774">
        <v>1.64</v>
      </c>
      <c r="T774">
        <v>1.61</v>
      </c>
      <c r="U774">
        <v>1.64</v>
      </c>
      <c r="V774">
        <v>1.68</v>
      </c>
      <c r="W774">
        <v>1.63</v>
      </c>
    </row>
    <row r="775" spans="1:23" x14ac:dyDescent="0.35">
      <c r="A775" s="2" t="s">
        <v>688</v>
      </c>
      <c r="B775">
        <v>3.04</v>
      </c>
      <c r="C775">
        <v>2.88</v>
      </c>
      <c r="D775">
        <v>2.95</v>
      </c>
      <c r="E775">
        <v>3.03</v>
      </c>
      <c r="F775">
        <v>3.04</v>
      </c>
      <c r="G775">
        <v>3.08</v>
      </c>
      <c r="H775">
        <v>3.07</v>
      </c>
      <c r="I775">
        <v>3.01</v>
      </c>
      <c r="J775">
        <v>3.16</v>
      </c>
      <c r="K775">
        <v>3.08</v>
      </c>
      <c r="L775">
        <v>3.16</v>
      </c>
      <c r="M775">
        <v>3.08</v>
      </c>
      <c r="N775">
        <v>3.17</v>
      </c>
      <c r="O775">
        <v>3.14</v>
      </c>
      <c r="P775">
        <v>3.13</v>
      </c>
      <c r="Q775">
        <v>3.12</v>
      </c>
      <c r="R775">
        <v>3.16</v>
      </c>
      <c r="S775">
        <v>3.15</v>
      </c>
      <c r="T775">
        <v>3.1</v>
      </c>
      <c r="U775">
        <v>3.12</v>
      </c>
      <c r="V775">
        <v>3.13</v>
      </c>
      <c r="W775">
        <v>3.07</v>
      </c>
    </row>
    <row r="776" spans="1:23" x14ac:dyDescent="0.35">
      <c r="A776" s="2" t="s">
        <v>689</v>
      </c>
      <c r="B776">
        <v>44.84</v>
      </c>
      <c r="C776">
        <v>45.03</v>
      </c>
      <c r="D776">
        <v>44.81</v>
      </c>
      <c r="E776">
        <v>45.33</v>
      </c>
      <c r="F776">
        <v>46.74</v>
      </c>
      <c r="G776">
        <v>46.14</v>
      </c>
      <c r="H776">
        <v>45.76</v>
      </c>
      <c r="I776">
        <v>46.96</v>
      </c>
      <c r="J776">
        <v>46.55</v>
      </c>
      <c r="K776">
        <v>47.09</v>
      </c>
      <c r="L776">
        <v>46.88</v>
      </c>
      <c r="M776">
        <v>47.72</v>
      </c>
      <c r="N776">
        <v>47.2</v>
      </c>
      <c r="O776">
        <v>47.72</v>
      </c>
      <c r="P776">
        <v>47.67</v>
      </c>
      <c r="Q776">
        <v>46.96</v>
      </c>
      <c r="R776">
        <v>47.12</v>
      </c>
      <c r="S776">
        <v>46.77</v>
      </c>
      <c r="T776">
        <v>46.99</v>
      </c>
      <c r="U776">
        <v>47.39</v>
      </c>
      <c r="V776">
        <v>47.26</v>
      </c>
      <c r="W776">
        <v>47.2</v>
      </c>
    </row>
    <row r="777" spans="1:23" x14ac:dyDescent="0.35">
      <c r="A777" s="2" t="s">
        <v>690</v>
      </c>
      <c r="B777">
        <v>36.770000000000003</v>
      </c>
      <c r="C777">
        <v>37.049999999999997</v>
      </c>
      <c r="D777">
        <v>38.33</v>
      </c>
      <c r="E777">
        <v>39.049999999999997</v>
      </c>
      <c r="F777">
        <v>39.299999999999997</v>
      </c>
      <c r="G777">
        <v>39.270000000000003</v>
      </c>
      <c r="H777">
        <v>39.22</v>
      </c>
      <c r="I777">
        <v>39.33</v>
      </c>
      <c r="J777">
        <v>38.880000000000003</v>
      </c>
      <c r="K777">
        <v>38.630000000000003</v>
      </c>
      <c r="L777">
        <v>38.44</v>
      </c>
      <c r="M777">
        <v>38.21</v>
      </c>
      <c r="N777">
        <v>39.08</v>
      </c>
      <c r="O777">
        <v>38.630000000000003</v>
      </c>
      <c r="P777">
        <v>39.08</v>
      </c>
      <c r="Q777">
        <v>38.520000000000003</v>
      </c>
      <c r="R777">
        <v>38.69</v>
      </c>
      <c r="S777">
        <v>38.659999999999997</v>
      </c>
      <c r="T777">
        <v>37.880000000000003</v>
      </c>
      <c r="U777">
        <v>38.21</v>
      </c>
      <c r="V777">
        <v>38.33</v>
      </c>
      <c r="W777">
        <v>38.770000000000003</v>
      </c>
    </row>
    <row r="778" spans="1:23" x14ac:dyDescent="0.35">
      <c r="A778" s="2" t="s">
        <v>691</v>
      </c>
      <c r="B778">
        <v>14.04</v>
      </c>
      <c r="C778">
        <v>14.04</v>
      </c>
      <c r="D778">
        <v>14.04</v>
      </c>
      <c r="E778">
        <v>14.04</v>
      </c>
      <c r="F778">
        <v>14.04</v>
      </c>
      <c r="G778">
        <v>14.85</v>
      </c>
      <c r="H778">
        <v>15.01</v>
      </c>
      <c r="I778">
        <v>15.01</v>
      </c>
      <c r="J778">
        <v>15.01</v>
      </c>
      <c r="K778">
        <v>13.77</v>
      </c>
      <c r="L778">
        <v>15.01</v>
      </c>
      <c r="M778">
        <v>15.01</v>
      </c>
      <c r="N778">
        <v>13.28</v>
      </c>
      <c r="O778">
        <v>13.77</v>
      </c>
      <c r="P778">
        <v>13.77</v>
      </c>
      <c r="Q778">
        <v>14.01</v>
      </c>
      <c r="R778">
        <v>14.28</v>
      </c>
      <c r="S778">
        <v>13.77</v>
      </c>
      <c r="T778">
        <v>14.28</v>
      </c>
      <c r="U778">
        <v>13.52</v>
      </c>
      <c r="V778">
        <v>13.77</v>
      </c>
      <c r="W778">
        <v>13.77</v>
      </c>
    </row>
    <row r="779" spans="1:23" x14ac:dyDescent="0.35">
      <c r="A779" s="2" t="s">
        <v>874</v>
      </c>
      <c r="B779">
        <v>103.76</v>
      </c>
      <c r="C779">
        <v>103.63</v>
      </c>
      <c r="D779">
        <v>105.96</v>
      </c>
      <c r="E779">
        <v>109.27</v>
      </c>
      <c r="F779">
        <v>110.44</v>
      </c>
      <c r="G779">
        <v>107.52</v>
      </c>
      <c r="H779">
        <v>106.16</v>
      </c>
      <c r="I779">
        <v>104.8</v>
      </c>
      <c r="J779">
        <v>102.2</v>
      </c>
      <c r="K779">
        <v>101.81</v>
      </c>
      <c r="L779">
        <v>101.68</v>
      </c>
      <c r="M779">
        <v>101.36</v>
      </c>
      <c r="N779">
        <v>100.77</v>
      </c>
      <c r="O779">
        <v>103.56</v>
      </c>
      <c r="P779">
        <v>104.08</v>
      </c>
      <c r="Q779">
        <v>104.41</v>
      </c>
      <c r="R779">
        <v>104.6</v>
      </c>
      <c r="S779">
        <v>104.02</v>
      </c>
      <c r="T779">
        <v>102.91</v>
      </c>
      <c r="U779">
        <v>102.66</v>
      </c>
      <c r="V779">
        <v>101.88</v>
      </c>
      <c r="W779">
        <v>102.27</v>
      </c>
    </row>
    <row r="780" spans="1:23" x14ac:dyDescent="0.35">
      <c r="A780" s="2" t="s">
        <v>692</v>
      </c>
      <c r="B780">
        <v>89.34</v>
      </c>
      <c r="C780">
        <v>89.18</v>
      </c>
      <c r="D780">
        <v>91.73</v>
      </c>
      <c r="E780">
        <v>94.28</v>
      </c>
      <c r="F780">
        <v>95.28</v>
      </c>
      <c r="G780">
        <v>92.17</v>
      </c>
      <c r="H780">
        <v>91.17</v>
      </c>
      <c r="I780">
        <v>89.95</v>
      </c>
      <c r="J780">
        <v>87.62</v>
      </c>
      <c r="K780">
        <v>87.07</v>
      </c>
      <c r="L780">
        <v>87.12</v>
      </c>
      <c r="M780">
        <v>86.79</v>
      </c>
      <c r="N780">
        <v>86.4</v>
      </c>
      <c r="O780">
        <v>89.23</v>
      </c>
      <c r="P780">
        <v>89.79</v>
      </c>
      <c r="Q780">
        <v>89.79</v>
      </c>
      <c r="R780">
        <v>89.84</v>
      </c>
      <c r="S780">
        <v>89.29</v>
      </c>
      <c r="T780">
        <v>88.34</v>
      </c>
      <c r="U780">
        <v>88.12</v>
      </c>
      <c r="V780">
        <v>87.46</v>
      </c>
      <c r="W780">
        <v>88.18</v>
      </c>
    </row>
    <row r="781" spans="1:23" x14ac:dyDescent="0.35">
      <c r="A781" s="2" t="s">
        <v>693</v>
      </c>
      <c r="B781">
        <v>11.26</v>
      </c>
      <c r="C781">
        <v>11.27</v>
      </c>
      <c r="D781">
        <v>10.96</v>
      </c>
      <c r="E781">
        <v>11.78</v>
      </c>
      <c r="F781">
        <v>11.93</v>
      </c>
      <c r="G781">
        <v>12.06</v>
      </c>
      <c r="H781">
        <v>11.71</v>
      </c>
      <c r="I781">
        <v>11.52</v>
      </c>
      <c r="J781">
        <v>11.32</v>
      </c>
      <c r="K781">
        <v>11.4</v>
      </c>
      <c r="L781">
        <v>11.26</v>
      </c>
      <c r="M781">
        <v>11.27</v>
      </c>
      <c r="N781">
        <v>10.98</v>
      </c>
      <c r="O781">
        <v>10.96</v>
      </c>
      <c r="P781">
        <v>10.89</v>
      </c>
      <c r="Q781">
        <v>11.18</v>
      </c>
      <c r="R781">
        <v>11.36</v>
      </c>
      <c r="S781">
        <v>11.33</v>
      </c>
      <c r="T781">
        <v>11.16</v>
      </c>
      <c r="U781">
        <v>11.12</v>
      </c>
      <c r="V781">
        <v>11.1</v>
      </c>
      <c r="W781">
        <v>10.68</v>
      </c>
    </row>
    <row r="782" spans="1:23" x14ac:dyDescent="0.35">
      <c r="A782" s="2" t="s">
        <v>694</v>
      </c>
      <c r="B782">
        <v>3.18</v>
      </c>
      <c r="C782">
        <v>3.21</v>
      </c>
      <c r="D782">
        <v>3.21</v>
      </c>
      <c r="E782">
        <v>3.21</v>
      </c>
      <c r="F782">
        <v>3.21</v>
      </c>
      <c r="G782">
        <v>3.24</v>
      </c>
      <c r="H782">
        <v>3.24</v>
      </c>
      <c r="I782">
        <v>3.3</v>
      </c>
      <c r="J782">
        <v>3.3</v>
      </c>
      <c r="K782">
        <v>3.3</v>
      </c>
      <c r="L782">
        <v>3.29</v>
      </c>
      <c r="M782">
        <v>3.29</v>
      </c>
      <c r="N782">
        <v>3.39</v>
      </c>
      <c r="O782">
        <v>3.38</v>
      </c>
      <c r="P782">
        <v>3.38</v>
      </c>
      <c r="Q782">
        <v>3.42</v>
      </c>
      <c r="R782">
        <v>3.42</v>
      </c>
      <c r="S782">
        <v>3.4</v>
      </c>
      <c r="T782">
        <v>3.4</v>
      </c>
      <c r="U782">
        <v>3.4</v>
      </c>
      <c r="V782">
        <v>3.33</v>
      </c>
      <c r="W782">
        <v>3.36</v>
      </c>
    </row>
    <row r="783" spans="1:23" x14ac:dyDescent="0.35">
      <c r="A783" s="2" t="s">
        <v>695</v>
      </c>
      <c r="B783">
        <v>22.9</v>
      </c>
      <c r="C783">
        <v>22.96</v>
      </c>
      <c r="D783">
        <v>23.92</v>
      </c>
      <c r="E783">
        <v>24.11</v>
      </c>
      <c r="F783">
        <v>23.84</v>
      </c>
      <c r="G783">
        <v>24.31</v>
      </c>
      <c r="H783">
        <v>23.47</v>
      </c>
      <c r="I783">
        <v>23.68</v>
      </c>
      <c r="J783">
        <v>23.72</v>
      </c>
      <c r="K783">
        <v>23.7</v>
      </c>
      <c r="L783">
        <v>23.96</v>
      </c>
      <c r="M783">
        <v>24.15</v>
      </c>
      <c r="N783">
        <v>23.92</v>
      </c>
      <c r="O783">
        <v>24.06</v>
      </c>
      <c r="P783">
        <v>24.02</v>
      </c>
      <c r="Q783">
        <v>24.09</v>
      </c>
      <c r="R783">
        <v>23.29</v>
      </c>
      <c r="S783">
        <v>23.8</v>
      </c>
      <c r="T783">
        <v>23.92</v>
      </c>
      <c r="U783">
        <v>24.17</v>
      </c>
      <c r="V783">
        <v>24.27</v>
      </c>
      <c r="W783">
        <v>24.31</v>
      </c>
    </row>
    <row r="784" spans="1:23" x14ac:dyDescent="0.35">
      <c r="A784" s="2" t="s">
        <v>875</v>
      </c>
      <c r="B784">
        <v>101.08</v>
      </c>
      <c r="C784">
        <v>100.94</v>
      </c>
      <c r="D784">
        <v>101.44</v>
      </c>
      <c r="E784">
        <v>103.53</v>
      </c>
      <c r="F784">
        <v>103.68</v>
      </c>
      <c r="G784">
        <v>102.74</v>
      </c>
      <c r="H784">
        <v>104.76</v>
      </c>
      <c r="I784">
        <v>105.19</v>
      </c>
      <c r="J784">
        <v>105.55</v>
      </c>
      <c r="K784">
        <v>103.89</v>
      </c>
      <c r="L784">
        <v>104.04</v>
      </c>
      <c r="M784">
        <v>104.33</v>
      </c>
      <c r="N784">
        <v>105.12</v>
      </c>
      <c r="O784">
        <v>105.84</v>
      </c>
      <c r="P784">
        <v>104.76</v>
      </c>
      <c r="Q784">
        <v>104.25</v>
      </c>
      <c r="R784">
        <v>104.4</v>
      </c>
      <c r="S784">
        <v>104.47</v>
      </c>
      <c r="T784">
        <v>104.11</v>
      </c>
      <c r="U784">
        <v>102.67</v>
      </c>
      <c r="V784">
        <v>103.39</v>
      </c>
      <c r="W784">
        <v>103.61</v>
      </c>
    </row>
    <row r="785" spans="1:23" x14ac:dyDescent="0.35">
      <c r="A785" s="2" t="s">
        <v>696</v>
      </c>
      <c r="B785">
        <v>44.29</v>
      </c>
      <c r="C785">
        <v>43.52</v>
      </c>
      <c r="D785">
        <v>43.34</v>
      </c>
      <c r="E785">
        <v>43.66</v>
      </c>
      <c r="F785">
        <v>43.75</v>
      </c>
      <c r="G785">
        <v>43.49</v>
      </c>
      <c r="H785">
        <v>43.43</v>
      </c>
      <c r="I785">
        <v>43.83</v>
      </c>
      <c r="J785">
        <v>44.35</v>
      </c>
      <c r="K785">
        <v>43.63</v>
      </c>
      <c r="L785">
        <v>43.89</v>
      </c>
      <c r="M785">
        <v>44.41</v>
      </c>
      <c r="N785">
        <v>44.64</v>
      </c>
      <c r="O785">
        <v>44.52</v>
      </c>
      <c r="P785">
        <v>44.38</v>
      </c>
      <c r="Q785">
        <v>44.09</v>
      </c>
      <c r="R785">
        <v>44.35</v>
      </c>
      <c r="S785">
        <v>44.24</v>
      </c>
      <c r="T785">
        <v>44.06</v>
      </c>
      <c r="U785">
        <v>43.55</v>
      </c>
      <c r="V785">
        <v>43.95</v>
      </c>
      <c r="W785">
        <v>43.63</v>
      </c>
    </row>
    <row r="786" spans="1:23" x14ac:dyDescent="0.35">
      <c r="A786" s="2" t="s">
        <v>697</v>
      </c>
      <c r="B786">
        <v>12.65</v>
      </c>
      <c r="C786">
        <v>12.65</v>
      </c>
      <c r="D786">
        <v>12.65</v>
      </c>
      <c r="E786">
        <v>12.65</v>
      </c>
      <c r="F786">
        <v>12.65</v>
      </c>
      <c r="G786">
        <v>12.65</v>
      </c>
      <c r="H786">
        <v>12.65</v>
      </c>
      <c r="I786">
        <v>12.65</v>
      </c>
      <c r="J786">
        <v>12.65</v>
      </c>
      <c r="K786">
        <v>12.65</v>
      </c>
      <c r="L786">
        <v>12.65</v>
      </c>
      <c r="M786">
        <v>12.65</v>
      </c>
      <c r="N786">
        <v>12.65</v>
      </c>
      <c r="O786">
        <v>12.65</v>
      </c>
      <c r="P786">
        <v>12.65</v>
      </c>
      <c r="Q786">
        <v>12.65</v>
      </c>
      <c r="R786">
        <v>12.65</v>
      </c>
      <c r="S786">
        <v>12.65</v>
      </c>
      <c r="T786">
        <v>12.65</v>
      </c>
      <c r="U786">
        <v>12.65</v>
      </c>
      <c r="V786">
        <v>12.91</v>
      </c>
      <c r="W786">
        <v>12.91</v>
      </c>
    </row>
    <row r="787" spans="1:23" x14ac:dyDescent="0.35">
      <c r="A787" s="2" t="s">
        <v>698</v>
      </c>
      <c r="B787">
        <v>3.25</v>
      </c>
      <c r="C787">
        <v>3.22</v>
      </c>
      <c r="D787">
        <v>3.23</v>
      </c>
      <c r="E787">
        <v>3.23</v>
      </c>
      <c r="F787">
        <v>3.3</v>
      </c>
      <c r="G787">
        <v>3.29</v>
      </c>
      <c r="H787">
        <v>3.27</v>
      </c>
      <c r="I787">
        <v>3.29</v>
      </c>
      <c r="J787">
        <v>3.29</v>
      </c>
      <c r="K787">
        <v>3.29</v>
      </c>
      <c r="L787">
        <v>3.29</v>
      </c>
      <c r="M787">
        <v>3.3</v>
      </c>
      <c r="N787">
        <v>3.3</v>
      </c>
      <c r="O787">
        <v>3.34</v>
      </c>
      <c r="P787">
        <v>3.34</v>
      </c>
      <c r="Q787">
        <v>3.34</v>
      </c>
      <c r="R787">
        <v>3.34</v>
      </c>
      <c r="S787">
        <v>3.34</v>
      </c>
      <c r="T787">
        <v>3.34</v>
      </c>
      <c r="U787">
        <v>3.34</v>
      </c>
      <c r="V787">
        <v>3.34</v>
      </c>
      <c r="W787">
        <v>3.35</v>
      </c>
    </row>
    <row r="788" spans="1:23" x14ac:dyDescent="0.35">
      <c r="A788" s="2" t="s">
        <v>876</v>
      </c>
      <c r="B788">
        <v>38.630000000000003</v>
      </c>
      <c r="C788">
        <v>38.630000000000003</v>
      </c>
      <c r="D788">
        <v>38.69</v>
      </c>
      <c r="E788">
        <v>38.51</v>
      </c>
      <c r="F788">
        <v>38.51</v>
      </c>
      <c r="G788">
        <v>38.450000000000003</v>
      </c>
      <c r="H788">
        <v>38.630000000000003</v>
      </c>
      <c r="I788">
        <v>38.9</v>
      </c>
      <c r="J788">
        <v>38.9</v>
      </c>
      <c r="K788">
        <v>38.93</v>
      </c>
      <c r="L788">
        <v>38.93</v>
      </c>
      <c r="M788">
        <v>39.26</v>
      </c>
      <c r="N788">
        <v>38.99</v>
      </c>
      <c r="O788">
        <v>39.200000000000003</v>
      </c>
      <c r="P788">
        <v>39.200000000000003</v>
      </c>
      <c r="Q788">
        <v>39.35</v>
      </c>
      <c r="R788">
        <v>39.35</v>
      </c>
      <c r="S788">
        <v>39.5</v>
      </c>
      <c r="T788">
        <v>39.5</v>
      </c>
      <c r="U788">
        <v>41.12</v>
      </c>
      <c r="V788">
        <v>40.880000000000003</v>
      </c>
      <c r="W788">
        <v>41.24</v>
      </c>
    </row>
    <row r="789" spans="1:23" x14ac:dyDescent="0.35">
      <c r="A789" s="2" t="s">
        <v>699</v>
      </c>
      <c r="B789">
        <v>38.270000000000003</v>
      </c>
      <c r="C789">
        <v>38.270000000000003</v>
      </c>
      <c r="D789">
        <v>38.33</v>
      </c>
      <c r="E789">
        <v>38.159999999999997</v>
      </c>
      <c r="F789">
        <v>38.159999999999997</v>
      </c>
      <c r="G789">
        <v>38.07</v>
      </c>
      <c r="H789">
        <v>38.270000000000003</v>
      </c>
      <c r="I789">
        <v>38.54</v>
      </c>
      <c r="J789">
        <v>38.54</v>
      </c>
      <c r="K789">
        <v>38.57</v>
      </c>
      <c r="L789">
        <v>38.57</v>
      </c>
      <c r="M789">
        <v>38.9</v>
      </c>
      <c r="N789">
        <v>38.630000000000003</v>
      </c>
      <c r="O789">
        <v>38.81</v>
      </c>
      <c r="P789">
        <v>38.81</v>
      </c>
      <c r="Q789">
        <v>38.96</v>
      </c>
      <c r="R789">
        <v>38.96</v>
      </c>
      <c r="S789">
        <v>39.1</v>
      </c>
      <c r="T789">
        <v>39.1</v>
      </c>
      <c r="U789">
        <v>40.729999999999997</v>
      </c>
      <c r="V789">
        <v>40.49</v>
      </c>
      <c r="W789">
        <v>40.85</v>
      </c>
    </row>
    <row r="790" spans="1:23" x14ac:dyDescent="0.35">
      <c r="A790" s="2" t="s">
        <v>700</v>
      </c>
      <c r="B790">
        <v>23.69</v>
      </c>
      <c r="C790">
        <v>23.85</v>
      </c>
      <c r="D790">
        <v>24.03</v>
      </c>
      <c r="E790">
        <v>24.12</v>
      </c>
      <c r="F790">
        <v>24.3</v>
      </c>
      <c r="G790">
        <v>24.48</v>
      </c>
      <c r="H790">
        <v>24.74</v>
      </c>
      <c r="I790">
        <v>24.4</v>
      </c>
      <c r="J790">
        <v>24.42</v>
      </c>
      <c r="K790">
        <v>24.44</v>
      </c>
      <c r="L790">
        <v>24.28</v>
      </c>
      <c r="M790">
        <v>24.22</v>
      </c>
      <c r="N790">
        <v>24.36</v>
      </c>
      <c r="O790">
        <v>24.26</v>
      </c>
      <c r="P790">
        <v>24.66</v>
      </c>
      <c r="Q790">
        <v>24.62</v>
      </c>
      <c r="R790">
        <v>24.64</v>
      </c>
      <c r="S790">
        <v>24.78</v>
      </c>
      <c r="T790">
        <v>24.76</v>
      </c>
      <c r="U790">
        <v>24.68</v>
      </c>
      <c r="V790">
        <v>24.66</v>
      </c>
      <c r="W790">
        <v>24.72</v>
      </c>
    </row>
    <row r="791" spans="1:23" x14ac:dyDescent="0.35">
      <c r="A791" s="2" t="s">
        <v>701</v>
      </c>
      <c r="B791">
        <v>0.61</v>
      </c>
      <c r="C791">
        <v>0.61</v>
      </c>
      <c r="D791">
        <v>0.61</v>
      </c>
      <c r="E791">
        <v>0.61</v>
      </c>
      <c r="F791">
        <v>0.61</v>
      </c>
      <c r="G791">
        <v>0.61</v>
      </c>
      <c r="H791">
        <v>0.62</v>
      </c>
      <c r="I791">
        <v>0.62</v>
      </c>
      <c r="J791">
        <v>0.63</v>
      </c>
      <c r="K791">
        <v>0.63</v>
      </c>
      <c r="L791">
        <v>0.63</v>
      </c>
      <c r="M791">
        <v>0.63</v>
      </c>
      <c r="N791">
        <v>0.63</v>
      </c>
      <c r="O791">
        <v>0.63</v>
      </c>
      <c r="P791">
        <v>0.67</v>
      </c>
      <c r="Q791">
        <v>0.73</v>
      </c>
      <c r="R791">
        <v>0.77</v>
      </c>
      <c r="S791">
        <v>0.8</v>
      </c>
      <c r="T791">
        <v>0.8</v>
      </c>
      <c r="U791">
        <v>0.8</v>
      </c>
      <c r="V791">
        <v>0.81</v>
      </c>
      <c r="W791">
        <v>0.81</v>
      </c>
    </row>
    <row r="792" spans="1:23" x14ac:dyDescent="0.35">
      <c r="A792" s="2" t="s">
        <v>702</v>
      </c>
      <c r="B792">
        <v>9.0299999999999994</v>
      </c>
      <c r="C792">
        <v>9.07</v>
      </c>
      <c r="D792">
        <v>9.11</v>
      </c>
      <c r="E792">
        <v>9.16</v>
      </c>
      <c r="F792">
        <v>9.18</v>
      </c>
      <c r="G792">
        <v>9.17</v>
      </c>
      <c r="H792">
        <v>9.24</v>
      </c>
      <c r="I792">
        <v>9.31</v>
      </c>
      <c r="J792">
        <v>9.33</v>
      </c>
      <c r="K792">
        <v>9.41</v>
      </c>
      <c r="L792">
        <v>9.41</v>
      </c>
      <c r="M792">
        <v>9.41</v>
      </c>
      <c r="N792">
        <v>9.57</v>
      </c>
      <c r="O792">
        <v>9.49</v>
      </c>
      <c r="P792">
        <v>9.6199999999999992</v>
      </c>
      <c r="Q792">
        <v>9.6199999999999992</v>
      </c>
      <c r="R792">
        <v>9.66</v>
      </c>
      <c r="S792">
        <v>9.64</v>
      </c>
      <c r="T792">
        <v>9.66</v>
      </c>
      <c r="U792">
        <v>9.57</v>
      </c>
      <c r="V792">
        <v>9.6300000000000008</v>
      </c>
      <c r="W792">
        <v>9.58</v>
      </c>
    </row>
    <row r="793" spans="1:23" x14ac:dyDescent="0.35">
      <c r="A793" s="2" t="s">
        <v>703</v>
      </c>
      <c r="B793">
        <v>1.21</v>
      </c>
      <c r="C793">
        <v>1.22</v>
      </c>
      <c r="D793">
        <v>1.22</v>
      </c>
      <c r="E793">
        <v>1.22</v>
      </c>
      <c r="F793">
        <v>1.22</v>
      </c>
      <c r="G793">
        <v>1.23</v>
      </c>
      <c r="H793">
        <v>1.23</v>
      </c>
      <c r="I793">
        <v>1.24</v>
      </c>
      <c r="J793">
        <v>1.22</v>
      </c>
      <c r="K793">
        <v>1.24</v>
      </c>
      <c r="L793">
        <v>1.23</v>
      </c>
      <c r="M793">
        <v>1.23</v>
      </c>
      <c r="N793">
        <v>1.24</v>
      </c>
      <c r="O793">
        <v>1.26</v>
      </c>
      <c r="P793">
        <v>1.26</v>
      </c>
      <c r="Q793">
        <v>1.26</v>
      </c>
      <c r="R793">
        <v>1.26</v>
      </c>
      <c r="S793">
        <v>1.25</v>
      </c>
      <c r="T793">
        <v>1.26</v>
      </c>
      <c r="U793">
        <v>1.26</v>
      </c>
      <c r="V793">
        <v>1.26</v>
      </c>
      <c r="W793">
        <v>1.27</v>
      </c>
    </row>
    <row r="794" spans="1:23" x14ac:dyDescent="0.35">
      <c r="A794" s="2" t="s">
        <v>704</v>
      </c>
      <c r="B794">
        <v>0.26</v>
      </c>
      <c r="C794">
        <v>0.26</v>
      </c>
      <c r="D794">
        <v>0.26</v>
      </c>
      <c r="E794">
        <v>0.26</v>
      </c>
      <c r="F794">
        <v>0.26</v>
      </c>
      <c r="G794">
        <v>0.26</v>
      </c>
      <c r="H794">
        <v>0.26</v>
      </c>
      <c r="I794">
        <v>0.26</v>
      </c>
      <c r="J794">
        <v>0.26</v>
      </c>
      <c r="K794">
        <v>0.26</v>
      </c>
      <c r="L794">
        <v>0.26</v>
      </c>
      <c r="M794">
        <v>0.26</v>
      </c>
      <c r="N794">
        <v>0.26</v>
      </c>
      <c r="O794">
        <v>0.26</v>
      </c>
      <c r="P794">
        <v>0.26</v>
      </c>
      <c r="Q794">
        <v>0.26</v>
      </c>
      <c r="R794">
        <v>0.27</v>
      </c>
      <c r="S794">
        <v>0.27</v>
      </c>
      <c r="T794">
        <v>0.27</v>
      </c>
      <c r="U794">
        <v>0.26</v>
      </c>
      <c r="V794">
        <v>0.26</v>
      </c>
      <c r="W794">
        <v>0.26</v>
      </c>
    </row>
    <row r="795" spans="1:23" x14ac:dyDescent="0.35">
      <c r="A795" s="2" t="s">
        <v>705</v>
      </c>
      <c r="B795">
        <v>24.16</v>
      </c>
      <c r="C795">
        <v>24.01</v>
      </c>
      <c r="D795">
        <v>24.32</v>
      </c>
      <c r="E795">
        <v>24.71</v>
      </c>
      <c r="F795">
        <v>24.77</v>
      </c>
      <c r="G795">
        <v>25.23</v>
      </c>
      <c r="H795">
        <v>25.34</v>
      </c>
      <c r="I795">
        <v>25.13</v>
      </c>
      <c r="J795">
        <v>25.02</v>
      </c>
      <c r="K795">
        <v>25.23</v>
      </c>
      <c r="L795">
        <v>25.26</v>
      </c>
      <c r="M795">
        <v>24.88</v>
      </c>
      <c r="N795">
        <v>24.87</v>
      </c>
      <c r="O795">
        <v>24.88</v>
      </c>
      <c r="P795">
        <v>25.47</v>
      </c>
      <c r="Q795">
        <v>25.68</v>
      </c>
      <c r="R795">
        <v>25.59</v>
      </c>
      <c r="S795">
        <v>25.76</v>
      </c>
      <c r="T795">
        <v>25.77</v>
      </c>
      <c r="U795">
        <v>25.7</v>
      </c>
      <c r="V795">
        <v>25.85</v>
      </c>
      <c r="W795">
        <v>25.95</v>
      </c>
    </row>
    <row r="796" spans="1:23" x14ac:dyDescent="0.35">
      <c r="A796" s="2" t="s">
        <v>706</v>
      </c>
      <c r="B796">
        <v>13.82</v>
      </c>
      <c r="C796">
        <v>13.87</v>
      </c>
      <c r="D796">
        <v>14.27</v>
      </c>
      <c r="E796">
        <v>13.73</v>
      </c>
      <c r="F796">
        <v>14.16</v>
      </c>
      <c r="G796">
        <v>14.67</v>
      </c>
      <c r="H796">
        <v>14.84</v>
      </c>
      <c r="I796">
        <v>15.26</v>
      </c>
      <c r="J796">
        <v>15.48</v>
      </c>
      <c r="K796">
        <v>15.64</v>
      </c>
      <c r="L796">
        <v>15.7</v>
      </c>
      <c r="M796">
        <v>15.53</v>
      </c>
      <c r="N796">
        <v>15.64</v>
      </c>
      <c r="O796">
        <v>16.03</v>
      </c>
      <c r="P796">
        <v>15.86</v>
      </c>
      <c r="Q796">
        <v>15.84</v>
      </c>
      <c r="R796">
        <v>16.04</v>
      </c>
      <c r="S796">
        <v>16.13</v>
      </c>
      <c r="T796">
        <v>16.010000000000002</v>
      </c>
      <c r="U796">
        <v>16.12</v>
      </c>
      <c r="V796">
        <v>16.27</v>
      </c>
      <c r="W796">
        <v>16.100000000000001</v>
      </c>
    </row>
    <row r="797" spans="1:23" x14ac:dyDescent="0.35">
      <c r="A797" s="2" t="s">
        <v>707</v>
      </c>
      <c r="B797">
        <v>12.71</v>
      </c>
      <c r="C797">
        <v>12.91</v>
      </c>
      <c r="D797">
        <v>13.41</v>
      </c>
      <c r="E797">
        <v>13.58</v>
      </c>
      <c r="F797">
        <v>13.77</v>
      </c>
      <c r="G797">
        <v>13.49</v>
      </c>
      <c r="H797">
        <v>13.1</v>
      </c>
      <c r="I797">
        <v>13.01</v>
      </c>
      <c r="J797">
        <v>13.05</v>
      </c>
      <c r="K797">
        <v>12.91</v>
      </c>
      <c r="L797">
        <v>12.95</v>
      </c>
      <c r="M797">
        <v>12.83</v>
      </c>
      <c r="N797">
        <v>13.08</v>
      </c>
      <c r="O797">
        <v>13.29</v>
      </c>
      <c r="P797">
        <v>13.12</v>
      </c>
      <c r="Q797">
        <v>13</v>
      </c>
      <c r="R797">
        <v>12.77</v>
      </c>
      <c r="S797">
        <v>12.75</v>
      </c>
      <c r="T797">
        <v>12.87</v>
      </c>
      <c r="U797">
        <v>12.86</v>
      </c>
      <c r="V797">
        <v>12.98</v>
      </c>
      <c r="W797">
        <v>12.82</v>
      </c>
    </row>
    <row r="798" spans="1:23" x14ac:dyDescent="0.35">
      <c r="A798" s="2" t="s">
        <v>708</v>
      </c>
      <c r="B798">
        <v>0.53</v>
      </c>
      <c r="C798">
        <v>0.54</v>
      </c>
      <c r="D798">
        <v>0.56999999999999995</v>
      </c>
      <c r="E798">
        <v>0.59</v>
      </c>
      <c r="F798">
        <v>0.57999999999999996</v>
      </c>
      <c r="G798">
        <v>0.61</v>
      </c>
      <c r="H798">
        <v>0.55000000000000004</v>
      </c>
      <c r="I798">
        <v>0.55000000000000004</v>
      </c>
      <c r="J798">
        <v>0.55000000000000004</v>
      </c>
      <c r="K798">
        <v>0.55000000000000004</v>
      </c>
      <c r="L798">
        <v>0.55000000000000004</v>
      </c>
      <c r="M798">
        <v>0.55000000000000004</v>
      </c>
      <c r="N798">
        <v>0.54</v>
      </c>
      <c r="O798">
        <v>0.55000000000000004</v>
      </c>
      <c r="P798">
        <v>0.55000000000000004</v>
      </c>
      <c r="Q798">
        <v>0.55000000000000004</v>
      </c>
      <c r="R798">
        <v>0.54</v>
      </c>
      <c r="S798">
        <v>0.55000000000000004</v>
      </c>
      <c r="T798">
        <v>0.56000000000000005</v>
      </c>
      <c r="U798">
        <v>0.56000000000000005</v>
      </c>
      <c r="V798">
        <v>0.56000000000000005</v>
      </c>
      <c r="W798">
        <v>0.56000000000000005</v>
      </c>
    </row>
    <row r="799" spans="1:23" x14ac:dyDescent="0.35">
      <c r="A799" s="2" t="s">
        <v>709</v>
      </c>
      <c r="B799">
        <v>4.18</v>
      </c>
      <c r="C799">
        <v>4.3099999999999996</v>
      </c>
      <c r="D799">
        <v>4.5599999999999996</v>
      </c>
      <c r="E799">
        <v>4.6100000000000003</v>
      </c>
      <c r="F799">
        <v>4.4800000000000004</v>
      </c>
      <c r="G799">
        <v>4.38</v>
      </c>
      <c r="H799">
        <v>4.2699999999999996</v>
      </c>
      <c r="I799">
        <v>4.33</v>
      </c>
      <c r="J799">
        <v>4.29</v>
      </c>
      <c r="K799">
        <v>4.25</v>
      </c>
      <c r="L799">
        <v>4.3</v>
      </c>
      <c r="M799">
        <v>4.4000000000000004</v>
      </c>
      <c r="N799">
        <v>4.3899999999999997</v>
      </c>
      <c r="O799">
        <v>4.3600000000000003</v>
      </c>
      <c r="P799">
        <v>4.29</v>
      </c>
      <c r="Q799">
        <v>4.32</v>
      </c>
      <c r="R799">
        <v>4.37</v>
      </c>
      <c r="S799">
        <v>4.3099999999999996</v>
      </c>
      <c r="T799">
        <v>4.25</v>
      </c>
      <c r="U799">
        <v>4.26</v>
      </c>
      <c r="V799">
        <v>4.26</v>
      </c>
      <c r="W799">
        <v>4.3</v>
      </c>
    </row>
    <row r="800" spans="1:23" x14ac:dyDescent="0.35">
      <c r="A800" s="2" t="s">
        <v>710</v>
      </c>
      <c r="B800">
        <v>1.1299999999999999</v>
      </c>
      <c r="C800">
        <v>1.1299999999999999</v>
      </c>
      <c r="D800">
        <v>1.1299999999999999</v>
      </c>
      <c r="E800">
        <v>1.1599999999999999</v>
      </c>
      <c r="F800">
        <v>1.1599999999999999</v>
      </c>
      <c r="G800">
        <v>1.1399999999999999</v>
      </c>
      <c r="H800">
        <v>1.1399999999999999</v>
      </c>
      <c r="I800">
        <v>1.1299999999999999</v>
      </c>
      <c r="J800">
        <v>1.1200000000000001</v>
      </c>
      <c r="K800">
        <v>1.1100000000000001</v>
      </c>
      <c r="L800">
        <v>1.1100000000000001</v>
      </c>
      <c r="M800">
        <v>1.1200000000000001</v>
      </c>
      <c r="N800">
        <v>1.1399999999999999</v>
      </c>
      <c r="O800">
        <v>1.1499999999999999</v>
      </c>
      <c r="P800">
        <v>1.1399999999999999</v>
      </c>
      <c r="Q800">
        <v>1.1499999999999999</v>
      </c>
      <c r="R800">
        <v>1.1499999999999999</v>
      </c>
      <c r="S800">
        <v>1.1399999999999999</v>
      </c>
      <c r="T800">
        <v>1.1499999999999999</v>
      </c>
      <c r="U800">
        <v>1.1299999999999999</v>
      </c>
      <c r="V800">
        <v>1.1499999999999999</v>
      </c>
      <c r="W800">
        <v>1.1200000000000001</v>
      </c>
    </row>
    <row r="801" spans="1:23" x14ac:dyDescent="0.35">
      <c r="A801" s="2" t="s">
        <v>711</v>
      </c>
      <c r="B801">
        <v>4.3099999999999996</v>
      </c>
      <c r="C801">
        <v>4.38</v>
      </c>
      <c r="D801">
        <v>4.38</v>
      </c>
      <c r="E801">
        <v>4.32</v>
      </c>
      <c r="F801">
        <v>4.42</v>
      </c>
      <c r="G801">
        <v>4.45</v>
      </c>
      <c r="H801">
        <v>4.46</v>
      </c>
      <c r="I801">
        <v>4.38</v>
      </c>
      <c r="J801">
        <v>4.41</v>
      </c>
      <c r="K801">
        <v>4.38</v>
      </c>
      <c r="L801">
        <v>4.46</v>
      </c>
      <c r="M801">
        <v>4.45</v>
      </c>
      <c r="N801">
        <v>4.41</v>
      </c>
      <c r="O801">
        <v>4.41</v>
      </c>
      <c r="P801">
        <v>4.49</v>
      </c>
      <c r="Q801">
        <v>4.38</v>
      </c>
      <c r="R801">
        <v>4.4000000000000004</v>
      </c>
      <c r="S801">
        <v>4.49</v>
      </c>
      <c r="T801">
        <v>4.5</v>
      </c>
      <c r="U801">
        <v>4.4800000000000004</v>
      </c>
      <c r="V801">
        <v>4.4800000000000004</v>
      </c>
      <c r="W801">
        <v>4.4800000000000004</v>
      </c>
    </row>
    <row r="802" spans="1:23" x14ac:dyDescent="0.35">
      <c r="A802" s="2" t="s">
        <v>877</v>
      </c>
      <c r="B802">
        <v>46.98</v>
      </c>
      <c r="C802">
        <v>46.98</v>
      </c>
      <c r="D802">
        <v>46.94</v>
      </c>
      <c r="E802">
        <v>47.69</v>
      </c>
      <c r="F802">
        <v>47.94</v>
      </c>
      <c r="G802">
        <v>48.05</v>
      </c>
      <c r="H802">
        <v>48.12</v>
      </c>
      <c r="I802">
        <v>48.33</v>
      </c>
      <c r="J802">
        <v>48.19</v>
      </c>
      <c r="K802">
        <v>48.19</v>
      </c>
      <c r="L802">
        <v>48.12</v>
      </c>
      <c r="M802">
        <v>47.83</v>
      </c>
      <c r="N802">
        <v>47.87</v>
      </c>
      <c r="O802">
        <v>47.66</v>
      </c>
      <c r="P802">
        <v>47.66</v>
      </c>
      <c r="Q802">
        <v>47.87</v>
      </c>
      <c r="R802">
        <v>47.94</v>
      </c>
      <c r="S802">
        <v>48.12</v>
      </c>
      <c r="T802">
        <v>48.37</v>
      </c>
      <c r="U802">
        <v>48.37</v>
      </c>
      <c r="V802">
        <v>47.66</v>
      </c>
      <c r="W802">
        <v>47.91</v>
      </c>
    </row>
    <row r="803" spans="1:23" x14ac:dyDescent="0.35">
      <c r="A803" s="2" t="s">
        <v>712</v>
      </c>
      <c r="B803">
        <v>17.47</v>
      </c>
      <c r="C803">
        <v>17.48</v>
      </c>
      <c r="D803">
        <v>17.489999999999998</v>
      </c>
      <c r="E803">
        <v>17.29</v>
      </c>
      <c r="F803">
        <v>17.37</v>
      </c>
      <c r="G803">
        <v>17.37</v>
      </c>
      <c r="H803">
        <v>17.32</v>
      </c>
      <c r="I803">
        <v>17.489999999999998</v>
      </c>
      <c r="J803">
        <v>17.47</v>
      </c>
      <c r="K803">
        <v>17.489999999999998</v>
      </c>
      <c r="L803">
        <v>17.52</v>
      </c>
      <c r="M803">
        <v>17.27</v>
      </c>
      <c r="N803">
        <v>17.399999999999999</v>
      </c>
      <c r="O803">
        <v>17.39</v>
      </c>
      <c r="P803">
        <v>17.39</v>
      </c>
      <c r="Q803">
        <v>17.329999999999998</v>
      </c>
      <c r="R803">
        <v>17.41</v>
      </c>
      <c r="S803">
        <v>17.350000000000001</v>
      </c>
      <c r="T803">
        <v>17.309999999999999</v>
      </c>
      <c r="U803">
        <v>17.41</v>
      </c>
      <c r="V803">
        <v>17.350000000000001</v>
      </c>
      <c r="W803">
        <v>17.41</v>
      </c>
    </row>
    <row r="804" spans="1:23" x14ac:dyDescent="0.35">
      <c r="A804" s="2" t="s">
        <v>713</v>
      </c>
      <c r="B804">
        <v>4.5</v>
      </c>
      <c r="C804">
        <v>4.57</v>
      </c>
      <c r="D804">
        <v>4.58</v>
      </c>
      <c r="E804">
        <v>4.59</v>
      </c>
      <c r="F804">
        <v>4.6100000000000003</v>
      </c>
      <c r="G804">
        <v>4.62</v>
      </c>
      <c r="H804">
        <v>4.68</v>
      </c>
      <c r="I804">
        <v>4.68</v>
      </c>
      <c r="J804">
        <v>4.71</v>
      </c>
      <c r="K804">
        <v>4.6900000000000004</v>
      </c>
      <c r="L804">
        <v>4.68</v>
      </c>
      <c r="M804">
        <v>4.6500000000000004</v>
      </c>
      <c r="N804">
        <v>4.57</v>
      </c>
      <c r="O804">
        <v>4.58</v>
      </c>
      <c r="P804">
        <v>4.57</v>
      </c>
      <c r="Q804">
        <v>4.63</v>
      </c>
      <c r="R804">
        <v>4.6399999999999997</v>
      </c>
      <c r="S804">
        <v>4.67</v>
      </c>
      <c r="T804">
        <v>4.67</v>
      </c>
      <c r="U804">
        <v>4.71</v>
      </c>
      <c r="V804">
        <v>4.6500000000000004</v>
      </c>
      <c r="W804">
        <v>4.7</v>
      </c>
    </row>
    <row r="805" spans="1:23" x14ac:dyDescent="0.35">
      <c r="A805" s="2" t="s">
        <v>714</v>
      </c>
      <c r="B805">
        <v>0.27</v>
      </c>
      <c r="C805">
        <v>0.27</v>
      </c>
      <c r="D805">
        <v>0.27</v>
      </c>
      <c r="E805">
        <v>0.27</v>
      </c>
      <c r="F805">
        <v>0.27</v>
      </c>
      <c r="G805">
        <v>0.27</v>
      </c>
      <c r="H805">
        <v>0.27</v>
      </c>
      <c r="I805">
        <v>0.28999999999999998</v>
      </c>
      <c r="J805">
        <v>0.28999999999999998</v>
      </c>
      <c r="K805">
        <v>0.28999999999999998</v>
      </c>
      <c r="L805">
        <v>0.28999999999999998</v>
      </c>
      <c r="M805">
        <v>0.28999999999999998</v>
      </c>
      <c r="N805">
        <v>0.28999999999999998</v>
      </c>
      <c r="O805">
        <v>0.28999999999999998</v>
      </c>
      <c r="P805">
        <v>0.28999999999999998</v>
      </c>
      <c r="Q805">
        <v>0.28000000000000003</v>
      </c>
      <c r="R805">
        <v>0.28999999999999998</v>
      </c>
      <c r="S805">
        <v>0.28000000000000003</v>
      </c>
      <c r="T805">
        <v>0.28000000000000003</v>
      </c>
      <c r="U805">
        <v>0.28000000000000003</v>
      </c>
      <c r="V805">
        <v>0.28000000000000003</v>
      </c>
      <c r="W805">
        <v>0.28000000000000003</v>
      </c>
    </row>
    <row r="806" spans="1:23" x14ac:dyDescent="0.35">
      <c r="A806" s="2" t="s">
        <v>878</v>
      </c>
      <c r="B806">
        <v>23.57</v>
      </c>
      <c r="C806">
        <v>23.22</v>
      </c>
      <c r="D806">
        <v>23.12</v>
      </c>
      <c r="E806">
        <v>23.3</v>
      </c>
      <c r="F806">
        <v>23.38</v>
      </c>
      <c r="G806">
        <v>23.61</v>
      </c>
      <c r="H806">
        <v>23.57</v>
      </c>
      <c r="I806">
        <v>23.91</v>
      </c>
      <c r="J806">
        <v>23.77</v>
      </c>
      <c r="K806">
        <v>23.95</v>
      </c>
      <c r="L806">
        <v>24.05</v>
      </c>
      <c r="M806">
        <v>24.4</v>
      </c>
      <c r="N806">
        <v>24.24</v>
      </c>
      <c r="O806">
        <v>24.46</v>
      </c>
      <c r="P806">
        <v>24.63</v>
      </c>
      <c r="Q806">
        <v>24.71</v>
      </c>
      <c r="R806">
        <v>24.71</v>
      </c>
      <c r="S806">
        <v>24.6</v>
      </c>
      <c r="T806">
        <v>24.79</v>
      </c>
      <c r="U806">
        <v>24.69</v>
      </c>
      <c r="V806">
        <v>24.63</v>
      </c>
      <c r="W806">
        <v>24.75</v>
      </c>
    </row>
    <row r="807" spans="1:23" x14ac:dyDescent="0.35">
      <c r="A807" s="2" t="s">
        <v>715</v>
      </c>
      <c r="B807">
        <v>4.08</v>
      </c>
      <c r="C807">
        <v>4.0999999999999996</v>
      </c>
      <c r="D807">
        <v>3.97</v>
      </c>
      <c r="E807">
        <v>3.97</v>
      </c>
      <c r="F807">
        <v>4.05</v>
      </c>
      <c r="G807">
        <v>4.05</v>
      </c>
      <c r="H807">
        <v>4.0999999999999996</v>
      </c>
      <c r="I807">
        <v>4.25</v>
      </c>
      <c r="J807">
        <v>4.26</v>
      </c>
      <c r="K807">
        <v>4.32</v>
      </c>
      <c r="L807">
        <v>4.3</v>
      </c>
      <c r="M807">
        <v>4.26</v>
      </c>
      <c r="N807">
        <v>4.26</v>
      </c>
      <c r="O807">
        <v>4.3</v>
      </c>
      <c r="P807">
        <v>4.22</v>
      </c>
      <c r="Q807">
        <v>4.3</v>
      </c>
      <c r="R807">
        <v>4.3099999999999996</v>
      </c>
      <c r="S807">
        <v>4.38</v>
      </c>
      <c r="T807">
        <v>4.42</v>
      </c>
      <c r="U807">
        <v>4.42</v>
      </c>
      <c r="V807">
        <v>4.42</v>
      </c>
      <c r="W807">
        <v>4.3600000000000003</v>
      </c>
    </row>
    <row r="808" spans="1:23" x14ac:dyDescent="0.35">
      <c r="A808" s="2" t="s">
        <v>879</v>
      </c>
      <c r="B808">
        <v>569.80999999999995</v>
      </c>
      <c r="C808">
        <v>571.67999999999995</v>
      </c>
      <c r="D808">
        <v>574.96</v>
      </c>
      <c r="E808">
        <v>582.46</v>
      </c>
      <c r="F808">
        <v>585.27</v>
      </c>
      <c r="G808">
        <v>586.21</v>
      </c>
      <c r="H808">
        <v>589.49</v>
      </c>
      <c r="I808">
        <v>590.89</v>
      </c>
      <c r="J808">
        <v>592.29999999999995</v>
      </c>
      <c r="K808">
        <v>592.77</v>
      </c>
      <c r="L808">
        <v>593.70000000000005</v>
      </c>
      <c r="M808">
        <v>591.83000000000004</v>
      </c>
      <c r="N808">
        <v>595.11</v>
      </c>
      <c r="O808">
        <v>598.39</v>
      </c>
      <c r="P808">
        <v>599.79999999999995</v>
      </c>
      <c r="Q808">
        <v>601.66999999999996</v>
      </c>
      <c r="R808">
        <v>602.14</v>
      </c>
      <c r="S808">
        <v>599.79999999999995</v>
      </c>
      <c r="T808">
        <v>602.61</v>
      </c>
      <c r="U808">
        <v>602.14</v>
      </c>
      <c r="V808">
        <v>605.41999999999996</v>
      </c>
      <c r="W808">
        <v>604.01</v>
      </c>
    </row>
    <row r="809" spans="1:23" x14ac:dyDescent="0.35">
      <c r="A809" s="2" t="s">
        <v>716</v>
      </c>
      <c r="B809">
        <v>4.6100000000000003</v>
      </c>
      <c r="C809">
        <v>4.76</v>
      </c>
      <c r="D809">
        <v>4.76</v>
      </c>
      <c r="E809">
        <v>4.76</v>
      </c>
      <c r="F809">
        <v>4.76</v>
      </c>
      <c r="G809">
        <v>4.76</v>
      </c>
      <c r="H809">
        <v>4.76</v>
      </c>
      <c r="I809">
        <v>4.76</v>
      </c>
      <c r="J809">
        <v>4.76</v>
      </c>
      <c r="K809">
        <v>4.76</v>
      </c>
      <c r="L809">
        <v>4.76</v>
      </c>
      <c r="M809">
        <v>4.76</v>
      </c>
      <c r="N809">
        <v>4.76</v>
      </c>
      <c r="O809">
        <v>4.76</v>
      </c>
      <c r="P809">
        <v>4.76</v>
      </c>
      <c r="Q809">
        <v>4.76</v>
      </c>
      <c r="R809">
        <v>4.76</v>
      </c>
      <c r="S809">
        <v>4.76</v>
      </c>
      <c r="T809">
        <v>4.76</v>
      </c>
      <c r="U809">
        <v>4.76</v>
      </c>
      <c r="V809">
        <v>4.76</v>
      </c>
      <c r="W809">
        <v>4.76</v>
      </c>
    </row>
    <row r="810" spans="1:23" x14ac:dyDescent="0.35">
      <c r="A810" s="2" t="s">
        <v>717</v>
      </c>
      <c r="B810">
        <v>3.4</v>
      </c>
      <c r="C810">
        <v>3.43</v>
      </c>
      <c r="D810">
        <v>3.5</v>
      </c>
      <c r="E810">
        <v>3.59</v>
      </c>
      <c r="F810">
        <v>3.6</v>
      </c>
      <c r="G810">
        <v>3.61</v>
      </c>
      <c r="H810">
        <v>3.61</v>
      </c>
      <c r="I810">
        <v>3.61</v>
      </c>
      <c r="J810">
        <v>3.61</v>
      </c>
      <c r="K810">
        <v>3.63</v>
      </c>
      <c r="L810">
        <v>3.59</v>
      </c>
      <c r="M810">
        <v>3.6</v>
      </c>
      <c r="N810">
        <v>3.62</v>
      </c>
      <c r="O810">
        <v>3.63</v>
      </c>
      <c r="P810">
        <v>3.65</v>
      </c>
      <c r="Q810">
        <v>3.67</v>
      </c>
      <c r="R810">
        <v>3.66</v>
      </c>
      <c r="S810">
        <v>3.68</v>
      </c>
      <c r="T810">
        <v>3.7</v>
      </c>
      <c r="U810">
        <v>3.71</v>
      </c>
      <c r="V810">
        <v>3.67</v>
      </c>
      <c r="W810">
        <v>3.69</v>
      </c>
    </row>
    <row r="811" spans="1:23" x14ac:dyDescent="0.35">
      <c r="A811" s="2" t="s">
        <v>718</v>
      </c>
      <c r="B811">
        <v>25.09</v>
      </c>
      <c r="C811">
        <v>25.36</v>
      </c>
      <c r="D811">
        <v>25.41</v>
      </c>
      <c r="E811">
        <v>25.87</v>
      </c>
      <c r="F811">
        <v>25.84</v>
      </c>
      <c r="G811">
        <v>25.55</v>
      </c>
      <c r="H811">
        <v>25.55</v>
      </c>
      <c r="I811">
        <v>25.32</v>
      </c>
      <c r="J811">
        <v>25.34</v>
      </c>
      <c r="K811">
        <v>25.2</v>
      </c>
      <c r="L811">
        <v>25.16</v>
      </c>
      <c r="M811">
        <v>25.25</v>
      </c>
      <c r="N811">
        <v>25.22</v>
      </c>
      <c r="O811">
        <v>25.27</v>
      </c>
      <c r="P811">
        <v>25.38</v>
      </c>
      <c r="Q811">
        <v>25.38</v>
      </c>
      <c r="R811">
        <v>25.43</v>
      </c>
      <c r="S811">
        <v>24.81</v>
      </c>
      <c r="T811">
        <v>24.7</v>
      </c>
      <c r="U811">
        <v>24.51</v>
      </c>
      <c r="V811">
        <v>24.54</v>
      </c>
      <c r="W811">
        <v>24.58</v>
      </c>
    </row>
    <row r="812" spans="1:23" x14ac:dyDescent="0.35">
      <c r="A812" s="2" t="s">
        <v>719</v>
      </c>
      <c r="B812">
        <v>20.94</v>
      </c>
      <c r="C812">
        <v>20.260000000000002</v>
      </c>
      <c r="D812">
        <v>20.47</v>
      </c>
      <c r="E812">
        <v>20.52</v>
      </c>
      <c r="F812">
        <v>20.64</v>
      </c>
      <c r="G812">
        <v>20.94</v>
      </c>
      <c r="H812">
        <v>20.96</v>
      </c>
      <c r="I812">
        <v>20.98</v>
      </c>
      <c r="J812">
        <v>20.86</v>
      </c>
      <c r="K812">
        <v>20.81</v>
      </c>
      <c r="L812">
        <v>20.82</v>
      </c>
      <c r="M812">
        <v>20.89</v>
      </c>
      <c r="N812">
        <v>20.89</v>
      </c>
      <c r="O812">
        <v>20.76</v>
      </c>
      <c r="P812">
        <v>20.82</v>
      </c>
      <c r="Q812">
        <v>20.82</v>
      </c>
      <c r="R812">
        <v>20.82</v>
      </c>
      <c r="S812">
        <v>20.89</v>
      </c>
      <c r="T812">
        <v>21.03</v>
      </c>
      <c r="U812">
        <v>21.03</v>
      </c>
      <c r="V812">
        <v>21.06</v>
      </c>
      <c r="W812">
        <v>21.16</v>
      </c>
    </row>
    <row r="813" spans="1:23" x14ac:dyDescent="0.35">
      <c r="A813" s="2" t="s">
        <v>720</v>
      </c>
      <c r="B813">
        <v>6.4</v>
      </c>
      <c r="C813">
        <v>6.38</v>
      </c>
      <c r="D813">
        <v>6.34</v>
      </c>
      <c r="E813">
        <v>6.52</v>
      </c>
      <c r="F813">
        <v>6.47</v>
      </c>
      <c r="G813">
        <v>6.52</v>
      </c>
      <c r="H813">
        <v>6.71</v>
      </c>
      <c r="I813">
        <v>6.86</v>
      </c>
      <c r="J813">
        <v>6.89</v>
      </c>
      <c r="K813">
        <v>6.77</v>
      </c>
      <c r="L813">
        <v>6.8</v>
      </c>
      <c r="M813">
        <v>6.83</v>
      </c>
      <c r="N813">
        <v>6.9</v>
      </c>
      <c r="O813">
        <v>6.84</v>
      </c>
      <c r="P813">
        <v>6.81</v>
      </c>
      <c r="Q813">
        <v>6.82</v>
      </c>
      <c r="R813">
        <v>6.91</v>
      </c>
      <c r="S813">
        <v>6.94</v>
      </c>
      <c r="T813">
        <v>6.93</v>
      </c>
      <c r="U813">
        <v>6.98</v>
      </c>
      <c r="V813">
        <v>6.93</v>
      </c>
      <c r="W813">
        <v>6.95</v>
      </c>
    </row>
    <row r="814" spans="1:23" x14ac:dyDescent="0.35">
      <c r="A814" s="2" t="s">
        <v>721</v>
      </c>
      <c r="B814">
        <v>4.6100000000000003</v>
      </c>
      <c r="C814">
        <v>4.63</v>
      </c>
      <c r="D814">
        <v>4.6399999999999997</v>
      </c>
      <c r="E814">
        <v>4.67</v>
      </c>
      <c r="F814">
        <v>4.75</v>
      </c>
      <c r="G814">
        <v>4.7300000000000004</v>
      </c>
      <c r="H814">
        <v>4.7300000000000004</v>
      </c>
      <c r="I814">
        <v>4.7</v>
      </c>
      <c r="J814">
        <v>4.6900000000000004</v>
      </c>
      <c r="K814">
        <v>4.63</v>
      </c>
      <c r="L814">
        <v>4.7300000000000004</v>
      </c>
      <c r="M814">
        <v>4.7699999999999996</v>
      </c>
      <c r="N814">
        <v>4.6900000000000004</v>
      </c>
      <c r="O814">
        <v>4.78</v>
      </c>
      <c r="P814">
        <v>4.76</v>
      </c>
      <c r="Q814">
        <v>4.71</v>
      </c>
      <c r="R814">
        <v>4.7300000000000004</v>
      </c>
      <c r="S814">
        <v>4.68</v>
      </c>
      <c r="T814">
        <v>4.68</v>
      </c>
      <c r="U814">
        <v>4.66</v>
      </c>
      <c r="V814">
        <v>4.6399999999999997</v>
      </c>
      <c r="W814">
        <v>4.71</v>
      </c>
    </row>
    <row r="815" spans="1:23" x14ac:dyDescent="0.35">
      <c r="A815" s="2" t="s">
        <v>722</v>
      </c>
      <c r="B815">
        <v>1.43</v>
      </c>
      <c r="C815">
        <v>1.41</v>
      </c>
      <c r="D815">
        <v>1.4</v>
      </c>
      <c r="E815">
        <v>1.39</v>
      </c>
      <c r="F815">
        <v>1.46</v>
      </c>
      <c r="G815">
        <v>1.46</v>
      </c>
      <c r="H815">
        <v>1.47</v>
      </c>
      <c r="I815">
        <v>1.47</v>
      </c>
      <c r="J815">
        <v>1.47</v>
      </c>
      <c r="K815">
        <v>1.47</v>
      </c>
      <c r="L815">
        <v>1.47</v>
      </c>
      <c r="M815">
        <v>1.47</v>
      </c>
      <c r="N815">
        <v>1.47</v>
      </c>
      <c r="O815">
        <v>1.46</v>
      </c>
      <c r="P815">
        <v>1.46</v>
      </c>
      <c r="Q815">
        <v>1.47</v>
      </c>
      <c r="R815">
        <v>1.47</v>
      </c>
      <c r="S815">
        <v>1.48</v>
      </c>
      <c r="T815">
        <v>1.47</v>
      </c>
      <c r="U815">
        <v>1.48</v>
      </c>
      <c r="V815">
        <v>1.47</v>
      </c>
      <c r="W815">
        <v>1.47</v>
      </c>
    </row>
    <row r="816" spans="1:23" x14ac:dyDescent="0.35">
      <c r="A816" s="2" t="s">
        <v>880</v>
      </c>
      <c r="B816">
        <v>34.51</v>
      </c>
      <c r="C816">
        <v>34.82</v>
      </c>
      <c r="D816">
        <v>34.909999999999997</v>
      </c>
      <c r="E816">
        <v>35.19</v>
      </c>
      <c r="F816">
        <v>35.159999999999997</v>
      </c>
      <c r="G816">
        <v>35.24</v>
      </c>
      <c r="H816">
        <v>35.520000000000003</v>
      </c>
      <c r="I816">
        <v>35.24</v>
      </c>
      <c r="J816">
        <v>35.020000000000003</v>
      </c>
      <c r="K816">
        <v>35.33</v>
      </c>
      <c r="L816">
        <v>35.44</v>
      </c>
      <c r="M816">
        <v>35.61</v>
      </c>
      <c r="N816">
        <v>35.69</v>
      </c>
      <c r="O816">
        <v>35.92</v>
      </c>
      <c r="P816">
        <v>36</v>
      </c>
      <c r="Q816">
        <v>35.78</v>
      </c>
      <c r="R816">
        <v>35.799999999999997</v>
      </c>
      <c r="S816">
        <v>35.75</v>
      </c>
      <c r="T816">
        <v>35.89</v>
      </c>
      <c r="U816">
        <v>36.11</v>
      </c>
      <c r="V816">
        <v>35.97</v>
      </c>
      <c r="W816">
        <v>36.06</v>
      </c>
    </row>
    <row r="817" spans="1:23" x14ac:dyDescent="0.35">
      <c r="A817" s="2" t="s">
        <v>723</v>
      </c>
      <c r="B817">
        <v>9.48</v>
      </c>
      <c r="C817">
        <v>9.57</v>
      </c>
      <c r="D817">
        <v>9.6</v>
      </c>
      <c r="E817">
        <v>9.65</v>
      </c>
      <c r="F817">
        <v>9.51</v>
      </c>
      <c r="G817">
        <v>9.85</v>
      </c>
      <c r="H817">
        <v>9.83</v>
      </c>
      <c r="I817">
        <v>9.83</v>
      </c>
      <c r="J817">
        <v>9.85</v>
      </c>
      <c r="K817">
        <v>9.81</v>
      </c>
      <c r="L817">
        <v>9.81</v>
      </c>
      <c r="M817">
        <v>9.81</v>
      </c>
      <c r="N817">
        <v>9.89</v>
      </c>
      <c r="O817">
        <v>9.93</v>
      </c>
      <c r="P817">
        <v>9.93</v>
      </c>
      <c r="Q817">
        <v>9.81</v>
      </c>
      <c r="R817">
        <v>9.9600000000000009</v>
      </c>
      <c r="S817">
        <v>9.91</v>
      </c>
      <c r="T817">
        <v>9.9</v>
      </c>
      <c r="U817">
        <v>9.9600000000000009</v>
      </c>
      <c r="V817">
        <v>9.9600000000000009</v>
      </c>
      <c r="W817">
        <v>9.85</v>
      </c>
    </row>
    <row r="818" spans="1:23" x14ac:dyDescent="0.35">
      <c r="A818" s="2" t="s">
        <v>724</v>
      </c>
      <c r="B818">
        <v>20.39</v>
      </c>
      <c r="C818">
        <v>20.6</v>
      </c>
      <c r="D818">
        <v>20.61</v>
      </c>
      <c r="E818">
        <v>20.83</v>
      </c>
      <c r="F818">
        <v>20.95</v>
      </c>
      <c r="G818">
        <v>20.7</v>
      </c>
      <c r="H818">
        <v>20.89</v>
      </c>
      <c r="I818">
        <v>20.6</v>
      </c>
      <c r="J818">
        <v>20.329999999999998</v>
      </c>
      <c r="K818">
        <v>20.68</v>
      </c>
      <c r="L818">
        <v>20.8</v>
      </c>
      <c r="M818">
        <v>20.95</v>
      </c>
      <c r="N818">
        <v>20.97</v>
      </c>
      <c r="O818">
        <v>21.14</v>
      </c>
      <c r="P818">
        <v>21.17</v>
      </c>
      <c r="Q818">
        <v>21.09</v>
      </c>
      <c r="R818">
        <v>20.92</v>
      </c>
      <c r="S818">
        <v>20.94</v>
      </c>
      <c r="T818">
        <v>21.04</v>
      </c>
      <c r="U818">
        <v>21.21</v>
      </c>
      <c r="V818">
        <v>21.07</v>
      </c>
      <c r="W818">
        <v>21.27</v>
      </c>
    </row>
    <row r="819" spans="1:23" x14ac:dyDescent="0.35">
      <c r="A819" s="2" t="s">
        <v>881</v>
      </c>
      <c r="B819">
        <v>25.4</v>
      </c>
      <c r="C819">
        <v>25.82</v>
      </c>
      <c r="D819">
        <v>26.15</v>
      </c>
      <c r="E819">
        <v>26.18</v>
      </c>
      <c r="F819">
        <v>26.29</v>
      </c>
      <c r="G819">
        <v>26.31</v>
      </c>
      <c r="H819">
        <v>26.51</v>
      </c>
      <c r="I819">
        <v>26.88</v>
      </c>
      <c r="J819">
        <v>26.8</v>
      </c>
      <c r="K819">
        <v>26.86</v>
      </c>
      <c r="L819">
        <v>26.84</v>
      </c>
      <c r="M819">
        <v>26.84</v>
      </c>
      <c r="N819">
        <v>26.86</v>
      </c>
      <c r="O819">
        <v>26.95</v>
      </c>
      <c r="P819">
        <v>27.11</v>
      </c>
      <c r="Q819">
        <v>27.11</v>
      </c>
      <c r="R819">
        <v>27.08</v>
      </c>
      <c r="S819">
        <v>27.02</v>
      </c>
      <c r="T819">
        <v>27.11</v>
      </c>
      <c r="U819">
        <v>27.11</v>
      </c>
      <c r="V819">
        <v>27.24</v>
      </c>
      <c r="W819">
        <v>27.24</v>
      </c>
    </row>
    <row r="820" spans="1:23" x14ac:dyDescent="0.35">
      <c r="A820" s="2" t="s">
        <v>725</v>
      </c>
      <c r="B820">
        <v>8.44</v>
      </c>
      <c r="C820">
        <v>8.58</v>
      </c>
      <c r="D820">
        <v>8.94</v>
      </c>
      <c r="E820">
        <v>8.94</v>
      </c>
      <c r="F820">
        <v>8.94</v>
      </c>
      <c r="G820">
        <v>8.9499999999999993</v>
      </c>
      <c r="H820">
        <v>9.0500000000000007</v>
      </c>
      <c r="I820">
        <v>9.3699999999999992</v>
      </c>
      <c r="J820">
        <v>9.3699999999999992</v>
      </c>
      <c r="K820">
        <v>9.35</v>
      </c>
      <c r="L820">
        <v>9.35</v>
      </c>
      <c r="M820">
        <v>9.35</v>
      </c>
      <c r="N820">
        <v>9.35</v>
      </c>
      <c r="O820">
        <v>9.35</v>
      </c>
      <c r="P820">
        <v>9.4600000000000009</v>
      </c>
      <c r="Q820">
        <v>9.4600000000000009</v>
      </c>
      <c r="R820">
        <v>9.4600000000000009</v>
      </c>
      <c r="S820">
        <v>9.3699999999999992</v>
      </c>
      <c r="T820">
        <v>9.4700000000000006</v>
      </c>
      <c r="U820">
        <v>9.4700000000000006</v>
      </c>
      <c r="V820">
        <v>9.59</v>
      </c>
      <c r="W820">
        <v>9.59</v>
      </c>
    </row>
    <row r="821" spans="1:23" x14ac:dyDescent="0.35">
      <c r="A821" s="2" t="s">
        <v>726</v>
      </c>
      <c r="B821">
        <v>3.8</v>
      </c>
      <c r="C821">
        <v>3.77</v>
      </c>
      <c r="D821">
        <v>3.8</v>
      </c>
      <c r="E821">
        <v>3.87</v>
      </c>
      <c r="F821">
        <v>3.8</v>
      </c>
      <c r="G821">
        <v>3.8</v>
      </c>
      <c r="H821">
        <v>3.71</v>
      </c>
      <c r="I821">
        <v>3.7</v>
      </c>
      <c r="J821">
        <v>3.72</v>
      </c>
      <c r="K821">
        <v>3.71</v>
      </c>
      <c r="L821">
        <v>3.7</v>
      </c>
      <c r="M821">
        <v>3.76</v>
      </c>
      <c r="N821">
        <v>3.79</v>
      </c>
      <c r="O821">
        <v>3.78</v>
      </c>
      <c r="P821">
        <v>3.78</v>
      </c>
      <c r="Q821">
        <v>3.81</v>
      </c>
      <c r="R821">
        <v>3.82</v>
      </c>
      <c r="S821">
        <v>3.8</v>
      </c>
      <c r="T821">
        <v>3.76</v>
      </c>
      <c r="U821">
        <v>3.77</v>
      </c>
      <c r="V821">
        <v>3.75</v>
      </c>
      <c r="W821">
        <v>3.72</v>
      </c>
    </row>
    <row r="822" spans="1:23" x14ac:dyDescent="0.35">
      <c r="A822" s="2" t="s">
        <v>727</v>
      </c>
      <c r="B822">
        <v>27.65</v>
      </c>
      <c r="C822">
        <v>27.16</v>
      </c>
      <c r="D822">
        <v>27.53</v>
      </c>
      <c r="E822">
        <v>27.45</v>
      </c>
      <c r="F822">
        <v>27.49</v>
      </c>
      <c r="G822">
        <v>27.94</v>
      </c>
      <c r="H822">
        <v>27.88</v>
      </c>
      <c r="I822">
        <v>28.29</v>
      </c>
      <c r="J822">
        <v>28.25</v>
      </c>
      <c r="K822">
        <v>28.44</v>
      </c>
      <c r="L822">
        <v>28.48</v>
      </c>
      <c r="M822">
        <v>28.44</v>
      </c>
      <c r="N822">
        <v>28.44</v>
      </c>
      <c r="O822">
        <v>28.93</v>
      </c>
      <c r="P822">
        <v>29.08</v>
      </c>
      <c r="Q822">
        <v>28.5</v>
      </c>
      <c r="R822">
        <v>29.05</v>
      </c>
      <c r="S822">
        <v>28.89</v>
      </c>
      <c r="T822">
        <v>29.03</v>
      </c>
      <c r="U822">
        <v>29.06</v>
      </c>
      <c r="V822">
        <v>29.24</v>
      </c>
      <c r="W822">
        <v>28.99</v>
      </c>
    </row>
    <row r="823" spans="1:23" x14ac:dyDescent="0.35">
      <c r="A823" s="2" t="s">
        <v>728</v>
      </c>
      <c r="B823">
        <v>1.61</v>
      </c>
      <c r="C823">
        <v>1.63</v>
      </c>
      <c r="D823">
        <v>1.65</v>
      </c>
      <c r="E823">
        <v>1.66</v>
      </c>
      <c r="F823">
        <v>1.69</v>
      </c>
      <c r="G823">
        <v>1.7</v>
      </c>
      <c r="H823">
        <v>1.71</v>
      </c>
      <c r="I823">
        <v>1.71</v>
      </c>
      <c r="J823">
        <v>1.74</v>
      </c>
      <c r="K823">
        <v>1.75</v>
      </c>
      <c r="L823">
        <v>1.74</v>
      </c>
      <c r="M823">
        <v>1.71</v>
      </c>
      <c r="N823">
        <v>1.69</v>
      </c>
      <c r="O823">
        <v>1.7</v>
      </c>
      <c r="P823">
        <v>1.75</v>
      </c>
      <c r="Q823">
        <v>1.78</v>
      </c>
      <c r="R823">
        <v>1.81</v>
      </c>
      <c r="S823">
        <v>1.79</v>
      </c>
      <c r="T823">
        <v>1.79</v>
      </c>
      <c r="U823">
        <v>1.78</v>
      </c>
      <c r="V823">
        <v>1.77</v>
      </c>
      <c r="W823">
        <v>1.79</v>
      </c>
    </row>
    <row r="824" spans="1:23" x14ac:dyDescent="0.35">
      <c r="A824" s="2" t="s">
        <v>882</v>
      </c>
      <c r="B824">
        <v>632.67999999999995</v>
      </c>
      <c r="C824">
        <v>634.19000000000005</v>
      </c>
      <c r="D824">
        <v>635.20000000000005</v>
      </c>
      <c r="E824">
        <v>636.72</v>
      </c>
      <c r="F824">
        <v>643.79</v>
      </c>
      <c r="G824">
        <v>645.29999999999995</v>
      </c>
      <c r="H824">
        <v>646.82000000000005</v>
      </c>
      <c r="I824">
        <v>641.26</v>
      </c>
      <c r="J824">
        <v>647.83000000000004</v>
      </c>
      <c r="K824">
        <v>646.82000000000005</v>
      </c>
      <c r="L824">
        <v>644.79999999999995</v>
      </c>
      <c r="M824">
        <v>646.30999999999995</v>
      </c>
      <c r="N824">
        <v>641.77</v>
      </c>
      <c r="O824">
        <v>641.77</v>
      </c>
      <c r="P824">
        <v>648.33000000000004</v>
      </c>
      <c r="Q824">
        <v>646.30999999999995</v>
      </c>
      <c r="R824">
        <v>646.82000000000005</v>
      </c>
      <c r="S824">
        <v>645.29999999999995</v>
      </c>
      <c r="T824">
        <v>648.84</v>
      </c>
      <c r="U824">
        <v>647.83000000000004</v>
      </c>
      <c r="V824">
        <v>646.30999999999995</v>
      </c>
      <c r="W824">
        <v>644.79999999999995</v>
      </c>
    </row>
    <row r="825" spans="1:23" x14ac:dyDescent="0.35">
      <c r="A825" s="2" t="s">
        <v>729</v>
      </c>
      <c r="B825">
        <v>109.36</v>
      </c>
      <c r="C825">
        <v>109.67</v>
      </c>
      <c r="D825">
        <v>109.75</v>
      </c>
      <c r="E825">
        <v>109.98</v>
      </c>
      <c r="F825">
        <v>110.45</v>
      </c>
      <c r="G825">
        <v>111.7</v>
      </c>
      <c r="H825">
        <v>112.4</v>
      </c>
      <c r="I825">
        <v>109.21</v>
      </c>
      <c r="J825">
        <v>110.69</v>
      </c>
      <c r="K825">
        <v>109.36</v>
      </c>
      <c r="L825">
        <v>110.84</v>
      </c>
      <c r="M825">
        <v>109.98</v>
      </c>
      <c r="N825">
        <v>109.67</v>
      </c>
      <c r="O825">
        <v>109.67</v>
      </c>
      <c r="P825">
        <v>111.78</v>
      </c>
      <c r="Q825">
        <v>112.01</v>
      </c>
      <c r="R825">
        <v>111.39</v>
      </c>
      <c r="S825">
        <v>110.76</v>
      </c>
      <c r="T825">
        <v>110.22</v>
      </c>
      <c r="U825">
        <v>111.23</v>
      </c>
      <c r="V825">
        <v>109.91</v>
      </c>
      <c r="W825">
        <v>110.37</v>
      </c>
    </row>
    <row r="826" spans="1:23" x14ac:dyDescent="0.35">
      <c r="A826" s="2" t="s">
        <v>730</v>
      </c>
      <c r="B826">
        <v>11.16</v>
      </c>
      <c r="C826">
        <v>11.06</v>
      </c>
      <c r="D826">
        <v>11.31</v>
      </c>
      <c r="E826">
        <v>11.1</v>
      </c>
      <c r="F826">
        <v>10.95</v>
      </c>
      <c r="G826">
        <v>11.06</v>
      </c>
      <c r="H826">
        <v>11.12</v>
      </c>
      <c r="I826">
        <v>11.08</v>
      </c>
      <c r="J826">
        <v>11.05</v>
      </c>
      <c r="K826">
        <v>11.18</v>
      </c>
      <c r="L826">
        <v>11.09</v>
      </c>
      <c r="M826">
        <v>11.12</v>
      </c>
      <c r="N826">
        <v>11.06</v>
      </c>
      <c r="O826">
        <v>11.07</v>
      </c>
      <c r="P826">
        <v>11.09</v>
      </c>
      <c r="Q826">
        <v>10.92</v>
      </c>
      <c r="R826">
        <v>10.68</v>
      </c>
      <c r="S826">
        <v>10.64</v>
      </c>
      <c r="T826">
        <v>10.73</v>
      </c>
      <c r="U826">
        <v>10.79</v>
      </c>
      <c r="V826">
        <v>10.79</v>
      </c>
      <c r="W826">
        <v>10.87</v>
      </c>
    </row>
    <row r="827" spans="1:23" x14ac:dyDescent="0.35">
      <c r="A827" s="2" t="s">
        <v>731</v>
      </c>
      <c r="B827">
        <v>17.579999999999998</v>
      </c>
      <c r="C827">
        <v>17.89</v>
      </c>
      <c r="D827">
        <v>18.170000000000002</v>
      </c>
      <c r="E827">
        <v>18.11</v>
      </c>
      <c r="F827">
        <v>18.22</v>
      </c>
      <c r="G827">
        <v>18.350000000000001</v>
      </c>
      <c r="H827">
        <v>18.510000000000002</v>
      </c>
      <c r="I827">
        <v>18.54</v>
      </c>
      <c r="J827">
        <v>18.52</v>
      </c>
      <c r="K827">
        <v>18.649999999999999</v>
      </c>
      <c r="L827">
        <v>18.41</v>
      </c>
      <c r="M827">
        <v>18.48</v>
      </c>
      <c r="N827">
        <v>18.47</v>
      </c>
      <c r="O827">
        <v>18.489999999999998</v>
      </c>
      <c r="P827">
        <v>18.32</v>
      </c>
      <c r="Q827">
        <v>18.25</v>
      </c>
      <c r="R827">
        <v>18.47</v>
      </c>
      <c r="S827">
        <v>18.440000000000001</v>
      </c>
      <c r="T827">
        <v>18.309999999999999</v>
      </c>
      <c r="U827">
        <v>18.37</v>
      </c>
      <c r="V827">
        <v>18.39</v>
      </c>
      <c r="W827">
        <v>18.489999999999998</v>
      </c>
    </row>
    <row r="828" spans="1:23" x14ac:dyDescent="0.35">
      <c r="A828" s="2" t="s">
        <v>732</v>
      </c>
      <c r="B828">
        <v>8.48</v>
      </c>
      <c r="C828">
        <v>8.5</v>
      </c>
      <c r="D828">
        <v>8.5299999999999994</v>
      </c>
      <c r="E828">
        <v>8.67</v>
      </c>
      <c r="F828">
        <v>8.7899999999999991</v>
      </c>
      <c r="G828">
        <v>8.75</v>
      </c>
      <c r="H828">
        <v>8.67</v>
      </c>
      <c r="I828">
        <v>8.73</v>
      </c>
      <c r="J828">
        <v>8.7200000000000006</v>
      </c>
      <c r="K828">
        <v>8.7899999999999991</v>
      </c>
      <c r="L828">
        <v>8.84</v>
      </c>
      <c r="M828">
        <v>8.99</v>
      </c>
      <c r="N828">
        <v>9.19</v>
      </c>
      <c r="O828">
        <v>9.07</v>
      </c>
      <c r="P828">
        <v>9.23</v>
      </c>
      <c r="Q828">
        <v>9.24</v>
      </c>
      <c r="R828">
        <v>9.17</v>
      </c>
      <c r="S828">
        <v>9.1999999999999993</v>
      </c>
      <c r="T828">
        <v>9.1</v>
      </c>
      <c r="U828">
        <v>9.0399999999999991</v>
      </c>
      <c r="V828">
        <v>9.26</v>
      </c>
      <c r="W828">
        <v>9.01</v>
      </c>
    </row>
    <row r="829" spans="1:23" x14ac:dyDescent="0.35">
      <c r="A829" s="2" t="s">
        <v>733</v>
      </c>
      <c r="B829">
        <v>5.47</v>
      </c>
      <c r="C829">
        <v>5.53</v>
      </c>
      <c r="D829">
        <v>5.57</v>
      </c>
      <c r="E829">
        <v>5.38</v>
      </c>
      <c r="F829">
        <v>5.49</v>
      </c>
      <c r="G829">
        <v>5.62</v>
      </c>
      <c r="H829">
        <v>5.63</v>
      </c>
      <c r="I829">
        <v>5.67</v>
      </c>
      <c r="J829">
        <v>5.67</v>
      </c>
      <c r="K829">
        <v>5.68</v>
      </c>
      <c r="L829">
        <v>5.62</v>
      </c>
      <c r="M829">
        <v>5.63</v>
      </c>
      <c r="N829">
        <v>5.66</v>
      </c>
      <c r="O829">
        <v>5.64</v>
      </c>
      <c r="P829">
        <v>5.66</v>
      </c>
      <c r="Q829">
        <v>5.66</v>
      </c>
      <c r="R829">
        <v>5.72</v>
      </c>
      <c r="S829">
        <v>5.71</v>
      </c>
      <c r="T829">
        <v>5.72</v>
      </c>
      <c r="U829">
        <v>5.71</v>
      </c>
      <c r="V829">
        <v>5.71</v>
      </c>
      <c r="W829">
        <v>5.78</v>
      </c>
    </row>
    <row r="830" spans="1:23" x14ac:dyDescent="0.35">
      <c r="A830" s="2" t="s">
        <v>734</v>
      </c>
      <c r="B830">
        <v>35.56</v>
      </c>
      <c r="C830">
        <v>35.72</v>
      </c>
      <c r="D830">
        <v>36.35</v>
      </c>
      <c r="E830">
        <v>36.29</v>
      </c>
      <c r="F830">
        <v>36.51</v>
      </c>
      <c r="G830">
        <v>36.659999999999997</v>
      </c>
      <c r="H830">
        <v>36.909999999999997</v>
      </c>
      <c r="I830">
        <v>37.130000000000003</v>
      </c>
      <c r="J830">
        <v>37.380000000000003</v>
      </c>
      <c r="K830">
        <v>37.51</v>
      </c>
      <c r="L830">
        <v>37.6</v>
      </c>
      <c r="M830">
        <v>37.950000000000003</v>
      </c>
      <c r="N830">
        <v>37.42</v>
      </c>
      <c r="O830">
        <v>37.76</v>
      </c>
      <c r="P830">
        <v>37.86</v>
      </c>
      <c r="Q830">
        <v>37.729999999999997</v>
      </c>
      <c r="R830">
        <v>37.700000000000003</v>
      </c>
      <c r="S830">
        <v>38.200000000000003</v>
      </c>
      <c r="T830">
        <v>38.200000000000003</v>
      </c>
      <c r="U830">
        <v>38.450000000000003</v>
      </c>
      <c r="V830">
        <v>38.36</v>
      </c>
      <c r="W830">
        <v>38.29</v>
      </c>
    </row>
    <row r="831" spans="1:23" x14ac:dyDescent="0.35">
      <c r="A831" s="2" t="s">
        <v>735</v>
      </c>
      <c r="B831">
        <v>18.66</v>
      </c>
      <c r="C831">
        <v>18.66</v>
      </c>
      <c r="D831">
        <v>18.68</v>
      </c>
      <c r="E831">
        <v>18.690000000000001</v>
      </c>
      <c r="F831">
        <v>18.690000000000001</v>
      </c>
      <c r="G831">
        <v>18.690000000000001</v>
      </c>
      <c r="H831">
        <v>19.2</v>
      </c>
      <c r="I831">
        <v>19.2</v>
      </c>
      <c r="J831">
        <v>19.22</v>
      </c>
      <c r="K831">
        <v>19.22</v>
      </c>
      <c r="L831">
        <v>19.22</v>
      </c>
      <c r="M831">
        <v>19.22</v>
      </c>
      <c r="N831">
        <v>19.22</v>
      </c>
      <c r="O831">
        <v>19.22</v>
      </c>
      <c r="P831">
        <v>19.22</v>
      </c>
      <c r="Q831">
        <v>19.22</v>
      </c>
      <c r="R831">
        <v>19.22</v>
      </c>
      <c r="S831">
        <v>19.23</v>
      </c>
      <c r="T831">
        <v>19.23</v>
      </c>
      <c r="U831">
        <v>19.23</v>
      </c>
      <c r="V831">
        <v>19.23</v>
      </c>
      <c r="W831">
        <v>19.23</v>
      </c>
    </row>
    <row r="832" spans="1:23" x14ac:dyDescent="0.35">
      <c r="A832" s="2" t="s">
        <v>736</v>
      </c>
      <c r="B832">
        <v>3.02</v>
      </c>
      <c r="C832">
        <v>3.02</v>
      </c>
      <c r="D832">
        <v>3.02</v>
      </c>
      <c r="E832">
        <v>3.02</v>
      </c>
      <c r="F832">
        <v>3.02</v>
      </c>
      <c r="G832">
        <v>3.02</v>
      </c>
      <c r="H832">
        <v>3.03</v>
      </c>
      <c r="I832">
        <v>3.03</v>
      </c>
      <c r="J832">
        <v>3.33</v>
      </c>
      <c r="K832">
        <v>2.93</v>
      </c>
      <c r="L832">
        <v>2.82</v>
      </c>
      <c r="M832">
        <v>2.8</v>
      </c>
      <c r="N832">
        <v>2.99</v>
      </c>
      <c r="O832">
        <v>2.99</v>
      </c>
      <c r="P832">
        <v>2.98</v>
      </c>
      <c r="Q832">
        <v>2.82</v>
      </c>
      <c r="R832">
        <v>2.82</v>
      </c>
      <c r="S832">
        <v>2.95</v>
      </c>
      <c r="T832">
        <v>2.95</v>
      </c>
      <c r="U832">
        <v>2.95</v>
      </c>
      <c r="V832">
        <v>2.95</v>
      </c>
      <c r="W832">
        <v>3.26</v>
      </c>
    </row>
    <row r="833" spans="1:45" x14ac:dyDescent="0.35">
      <c r="A833" s="2" t="s">
        <v>737</v>
      </c>
      <c r="B833">
        <v>160.28</v>
      </c>
      <c r="C833">
        <v>161.11000000000001</v>
      </c>
      <c r="D833">
        <v>161.11000000000001</v>
      </c>
      <c r="E833">
        <v>161.83000000000001</v>
      </c>
      <c r="F833">
        <v>162.78</v>
      </c>
      <c r="G833">
        <v>163.02000000000001</v>
      </c>
      <c r="H833">
        <v>163.61000000000001</v>
      </c>
      <c r="I833">
        <v>165.04</v>
      </c>
      <c r="J833">
        <v>165.16</v>
      </c>
      <c r="K833">
        <v>165.51</v>
      </c>
      <c r="L833">
        <v>165.63</v>
      </c>
      <c r="M833">
        <v>166.94</v>
      </c>
      <c r="N833">
        <v>167.3</v>
      </c>
      <c r="O833">
        <v>169.08</v>
      </c>
      <c r="P833">
        <v>172.18</v>
      </c>
      <c r="Q833">
        <v>173.25</v>
      </c>
      <c r="R833">
        <v>173.61</v>
      </c>
      <c r="S833">
        <v>173.61</v>
      </c>
      <c r="T833">
        <v>173.73</v>
      </c>
      <c r="U833">
        <v>174.32</v>
      </c>
      <c r="V833">
        <v>177.29</v>
      </c>
      <c r="W833">
        <v>175.39</v>
      </c>
    </row>
    <row r="834" spans="1:45" x14ac:dyDescent="0.35">
      <c r="A834" s="2" t="s">
        <v>738</v>
      </c>
      <c r="B834">
        <v>13.96</v>
      </c>
      <c r="C834">
        <v>13.94</v>
      </c>
      <c r="D834">
        <v>13.98</v>
      </c>
      <c r="E834">
        <v>14.23</v>
      </c>
      <c r="F834">
        <v>14.4</v>
      </c>
      <c r="G834">
        <v>14.49</v>
      </c>
      <c r="H834">
        <v>14.57</v>
      </c>
      <c r="I834">
        <v>14.61</v>
      </c>
      <c r="J834">
        <v>14.66</v>
      </c>
      <c r="K834">
        <v>14.51</v>
      </c>
      <c r="L834">
        <v>14.62</v>
      </c>
      <c r="M834">
        <v>14.65</v>
      </c>
      <c r="N834">
        <v>14.93</v>
      </c>
      <c r="O834">
        <v>14.82</v>
      </c>
      <c r="P834">
        <v>14.94</v>
      </c>
      <c r="Q834">
        <v>14.74</v>
      </c>
      <c r="R834">
        <v>14.61</v>
      </c>
      <c r="S834">
        <v>14.74</v>
      </c>
      <c r="T834">
        <v>14.89</v>
      </c>
      <c r="U834">
        <v>14.88</v>
      </c>
      <c r="V834">
        <v>14.91</v>
      </c>
      <c r="W834">
        <v>15.05</v>
      </c>
    </row>
    <row r="835" spans="1:45" x14ac:dyDescent="0.35">
      <c r="A835" s="2" t="s">
        <v>739</v>
      </c>
      <c r="B835">
        <v>15.44</v>
      </c>
      <c r="C835">
        <v>15.41</v>
      </c>
      <c r="D835">
        <v>15.54</v>
      </c>
      <c r="E835">
        <v>15.58</v>
      </c>
      <c r="F835">
        <v>15.63</v>
      </c>
      <c r="G835">
        <v>15.63</v>
      </c>
      <c r="H835">
        <v>15.73</v>
      </c>
      <c r="I835">
        <v>15.73</v>
      </c>
      <c r="J835">
        <v>15.72</v>
      </c>
      <c r="K835">
        <v>15.69</v>
      </c>
      <c r="L835">
        <v>15.67</v>
      </c>
      <c r="M835">
        <v>15.56</v>
      </c>
      <c r="N835">
        <v>15.52</v>
      </c>
      <c r="O835">
        <v>15.48</v>
      </c>
      <c r="P835">
        <v>15.49</v>
      </c>
      <c r="Q835">
        <v>15.34</v>
      </c>
      <c r="R835">
        <v>15.32</v>
      </c>
      <c r="S835">
        <v>15.31</v>
      </c>
      <c r="T835">
        <v>15.49</v>
      </c>
      <c r="U835">
        <v>15.48</v>
      </c>
      <c r="V835">
        <v>15.43</v>
      </c>
      <c r="W835">
        <v>15.48</v>
      </c>
    </row>
    <row r="836" spans="1:45" x14ac:dyDescent="0.35">
      <c r="A836" s="2" t="s">
        <v>883</v>
      </c>
      <c r="B836">
        <v>107.22</v>
      </c>
      <c r="C836">
        <v>108.2</v>
      </c>
      <c r="D836">
        <v>110.02</v>
      </c>
      <c r="E836">
        <v>108.55</v>
      </c>
      <c r="F836">
        <v>109.04</v>
      </c>
      <c r="G836">
        <v>109.81</v>
      </c>
      <c r="H836">
        <v>110.09</v>
      </c>
      <c r="I836">
        <v>109.95</v>
      </c>
      <c r="J836">
        <v>109.95</v>
      </c>
      <c r="K836">
        <v>109.25</v>
      </c>
      <c r="L836">
        <v>109.04</v>
      </c>
      <c r="M836">
        <v>110.3</v>
      </c>
      <c r="N836">
        <v>110.44</v>
      </c>
      <c r="O836">
        <v>110.65</v>
      </c>
      <c r="P836">
        <v>111.98</v>
      </c>
      <c r="Q836">
        <v>111.98</v>
      </c>
      <c r="R836">
        <v>111.91</v>
      </c>
      <c r="S836">
        <v>111.98</v>
      </c>
      <c r="T836">
        <v>111.84</v>
      </c>
      <c r="U836">
        <v>111.98</v>
      </c>
      <c r="V836">
        <v>111.98</v>
      </c>
      <c r="W836">
        <v>111.56</v>
      </c>
    </row>
    <row r="837" spans="1:45" x14ac:dyDescent="0.35">
      <c r="A837" s="2" t="s">
        <v>740</v>
      </c>
      <c r="B837">
        <v>145.27000000000001</v>
      </c>
      <c r="C837">
        <v>147.91</v>
      </c>
      <c r="D837">
        <v>154.26</v>
      </c>
      <c r="E837">
        <v>155.32</v>
      </c>
      <c r="F837">
        <v>151.72</v>
      </c>
      <c r="G837">
        <v>146.63999999999999</v>
      </c>
      <c r="H837">
        <v>152.46</v>
      </c>
      <c r="I837">
        <v>156.81</v>
      </c>
      <c r="J837">
        <v>153.84</v>
      </c>
      <c r="K837">
        <v>153.1</v>
      </c>
      <c r="L837">
        <v>155.43</v>
      </c>
      <c r="M837">
        <v>162.31</v>
      </c>
      <c r="N837">
        <v>159.97999999999999</v>
      </c>
      <c r="O837">
        <v>163.05000000000001</v>
      </c>
      <c r="P837">
        <v>163.37</v>
      </c>
      <c r="Q837">
        <v>169.3</v>
      </c>
      <c r="R837">
        <v>167.82</v>
      </c>
      <c r="S837">
        <v>167.5</v>
      </c>
      <c r="T837">
        <v>159.88</v>
      </c>
      <c r="U837">
        <v>164.01</v>
      </c>
      <c r="V837">
        <v>164.11</v>
      </c>
      <c r="W837">
        <v>162.72999999999999</v>
      </c>
    </row>
    <row r="838" spans="1:45" x14ac:dyDescent="0.35">
      <c r="A838" s="2" t="s">
        <v>884</v>
      </c>
      <c r="B838">
        <v>0.22</v>
      </c>
      <c r="C838">
        <v>0.21</v>
      </c>
      <c r="D838">
        <v>0.21</v>
      </c>
      <c r="E838">
        <v>0.21</v>
      </c>
      <c r="F838">
        <v>0.21</v>
      </c>
      <c r="G838">
        <v>0.2</v>
      </c>
      <c r="H838">
        <v>0.22</v>
      </c>
      <c r="I838">
        <v>0.22</v>
      </c>
      <c r="J838">
        <v>0.21</v>
      </c>
      <c r="K838">
        <v>0.22</v>
      </c>
      <c r="L838">
        <v>0.22</v>
      </c>
      <c r="M838">
        <v>0.21</v>
      </c>
      <c r="N838">
        <v>0.21</v>
      </c>
      <c r="O838">
        <v>0.23</v>
      </c>
      <c r="P838">
        <v>0.23</v>
      </c>
      <c r="Q838">
        <v>0.22</v>
      </c>
      <c r="R838">
        <v>0.21</v>
      </c>
      <c r="S838">
        <v>0.21</v>
      </c>
      <c r="T838">
        <v>0.22</v>
      </c>
      <c r="U838">
        <v>0.2</v>
      </c>
      <c r="V838">
        <v>0.21</v>
      </c>
      <c r="W838">
        <v>0.22</v>
      </c>
    </row>
    <row r="839" spans="1:45" x14ac:dyDescent="0.35">
      <c r="A839" s="2" t="s">
        <v>741</v>
      </c>
      <c r="B839">
        <v>0.11</v>
      </c>
      <c r="C839">
        <v>0.11</v>
      </c>
      <c r="D839">
        <v>0.11</v>
      </c>
      <c r="E839">
        <v>0.11</v>
      </c>
      <c r="F839">
        <v>0.11</v>
      </c>
      <c r="G839">
        <v>0.11</v>
      </c>
      <c r="H839">
        <v>0.11</v>
      </c>
      <c r="I839">
        <v>0.11</v>
      </c>
      <c r="J839">
        <v>0.11</v>
      </c>
      <c r="K839">
        <v>0.11</v>
      </c>
      <c r="L839">
        <v>0.11</v>
      </c>
      <c r="M839">
        <v>0.11</v>
      </c>
      <c r="N839">
        <v>0.11</v>
      </c>
      <c r="O839">
        <v>0.11</v>
      </c>
      <c r="P839">
        <v>0.11</v>
      </c>
      <c r="Q839">
        <v>0.11</v>
      </c>
      <c r="R839">
        <v>0.11</v>
      </c>
      <c r="S839">
        <v>0.11</v>
      </c>
      <c r="T839">
        <v>0.11</v>
      </c>
      <c r="U839">
        <v>0.11</v>
      </c>
      <c r="V839">
        <v>0.11</v>
      </c>
      <c r="W839">
        <v>0.11</v>
      </c>
    </row>
    <row r="840" spans="1:45" x14ac:dyDescent="0.35">
      <c r="A840" s="2" t="s">
        <v>742</v>
      </c>
      <c r="B840">
        <v>0.28000000000000003</v>
      </c>
      <c r="C840">
        <v>0.28000000000000003</v>
      </c>
      <c r="D840">
        <v>0.28000000000000003</v>
      </c>
      <c r="E840">
        <v>0.28000000000000003</v>
      </c>
      <c r="F840">
        <v>0.28999999999999998</v>
      </c>
      <c r="G840">
        <v>0.28999999999999998</v>
      </c>
      <c r="H840">
        <v>0.28999999999999998</v>
      </c>
      <c r="I840">
        <v>0.28999999999999998</v>
      </c>
      <c r="J840">
        <v>0.28999999999999998</v>
      </c>
      <c r="K840">
        <v>0.28999999999999998</v>
      </c>
      <c r="L840">
        <v>0.28999999999999998</v>
      </c>
      <c r="M840">
        <v>0.28999999999999998</v>
      </c>
      <c r="N840">
        <v>0.28999999999999998</v>
      </c>
      <c r="O840">
        <v>0.28999999999999998</v>
      </c>
      <c r="P840">
        <v>0.28999999999999998</v>
      </c>
      <c r="Q840">
        <v>0.28999999999999998</v>
      </c>
      <c r="R840">
        <v>0.28999999999999998</v>
      </c>
      <c r="S840">
        <v>0.28999999999999998</v>
      </c>
      <c r="T840">
        <v>0.28999999999999998</v>
      </c>
      <c r="U840">
        <v>0.28999999999999998</v>
      </c>
      <c r="V840">
        <v>0.28999999999999998</v>
      </c>
      <c r="W840">
        <v>0.28999999999999998</v>
      </c>
    </row>
    <row r="841" spans="1:45" x14ac:dyDescent="0.35">
      <c r="A841" s="2" t="s">
        <v>743</v>
      </c>
      <c r="B841">
        <v>0.03</v>
      </c>
      <c r="C841">
        <v>0.03</v>
      </c>
      <c r="D841">
        <v>0.03</v>
      </c>
      <c r="E841">
        <v>0.03</v>
      </c>
      <c r="F841">
        <v>0.03</v>
      </c>
      <c r="G841">
        <v>0.03</v>
      </c>
      <c r="H841">
        <v>0.03</v>
      </c>
      <c r="I841">
        <v>0.03</v>
      </c>
      <c r="J841">
        <v>0.03</v>
      </c>
      <c r="K841">
        <v>0.03</v>
      </c>
      <c r="L841">
        <v>0.03</v>
      </c>
      <c r="M841">
        <v>0.03</v>
      </c>
      <c r="N841">
        <v>0.03</v>
      </c>
      <c r="O841">
        <v>0.03</v>
      </c>
      <c r="P841">
        <v>0.03</v>
      </c>
      <c r="Q841">
        <v>0.03</v>
      </c>
      <c r="R841">
        <v>0.03</v>
      </c>
      <c r="S841">
        <v>0.03</v>
      </c>
      <c r="T841">
        <v>0.03</v>
      </c>
      <c r="U841">
        <v>0.03</v>
      </c>
      <c r="V841">
        <v>0.03</v>
      </c>
      <c r="W841">
        <v>0.03</v>
      </c>
    </row>
    <row r="842" spans="1:45" x14ac:dyDescent="0.35">
      <c r="A842" s="2" t="s">
        <v>744</v>
      </c>
      <c r="B842">
        <v>78.989999999999995</v>
      </c>
      <c r="C842">
        <v>79.739999999999995</v>
      </c>
      <c r="D842">
        <v>81.569999999999993</v>
      </c>
      <c r="E842">
        <v>83.39</v>
      </c>
      <c r="F842">
        <v>84.92</v>
      </c>
      <c r="G842">
        <v>85.09</v>
      </c>
      <c r="H842">
        <v>84.35</v>
      </c>
      <c r="I842">
        <v>84.13</v>
      </c>
      <c r="J842">
        <v>83.38</v>
      </c>
      <c r="K842">
        <v>83.84</v>
      </c>
      <c r="L842">
        <v>83.36</v>
      </c>
      <c r="M842">
        <v>82.31</v>
      </c>
      <c r="N842">
        <v>82.45</v>
      </c>
      <c r="O842">
        <v>82.56</v>
      </c>
      <c r="P842">
        <v>82.59</v>
      </c>
      <c r="Q842">
        <v>82.74</v>
      </c>
      <c r="R842">
        <v>82.1</v>
      </c>
      <c r="S842">
        <v>81.88</v>
      </c>
      <c r="T842">
        <v>83.91</v>
      </c>
      <c r="U842">
        <v>84.07</v>
      </c>
      <c r="V842">
        <v>83.4</v>
      </c>
      <c r="W842">
        <v>83.72</v>
      </c>
    </row>
    <row r="843" spans="1:45" x14ac:dyDescent="0.35">
      <c r="A843" s="2"/>
    </row>
    <row r="844" spans="1:45" x14ac:dyDescent="0.35">
      <c r="A844" s="11" t="s">
        <v>888</v>
      </c>
      <c r="B844" s="11"/>
      <c r="C844" s="11"/>
      <c r="D844" s="11"/>
      <c r="E844" s="11"/>
      <c r="F844" s="11"/>
      <c r="G844" s="11"/>
      <c r="H844" s="11"/>
      <c r="I844" s="11"/>
      <c r="J844" s="11"/>
      <c r="K844" s="11"/>
      <c r="N844" t="s">
        <v>889</v>
      </c>
    </row>
    <row r="845" spans="1:45" x14ac:dyDescent="0.35">
      <c r="A845" s="9" t="s">
        <v>784</v>
      </c>
      <c r="B845" s="10" t="s">
        <v>785</v>
      </c>
      <c r="D845" s="9" t="s">
        <v>786</v>
      </c>
      <c r="E845" s="10" t="s">
        <v>787</v>
      </c>
      <c r="N845" t="s">
        <v>890</v>
      </c>
      <c r="O845" t="s">
        <v>892</v>
      </c>
      <c r="Q845" t="s">
        <v>891</v>
      </c>
      <c r="R845" t="s">
        <v>892</v>
      </c>
      <c r="U845" t="s">
        <v>890</v>
      </c>
      <c r="V845" t="s">
        <v>758</v>
      </c>
      <c r="W845" t="s">
        <v>759</v>
      </c>
      <c r="X845" t="s">
        <v>760</v>
      </c>
      <c r="Y845" t="s">
        <v>761</v>
      </c>
      <c r="Z845" t="s">
        <v>762</v>
      </c>
      <c r="AB845" t="s">
        <v>763</v>
      </c>
      <c r="AC845" t="s">
        <v>764</v>
      </c>
      <c r="AD845" t="s">
        <v>765</v>
      </c>
      <c r="AE845" t="s">
        <v>766</v>
      </c>
      <c r="AF845" t="s">
        <v>767</v>
      </c>
      <c r="AG845" t="s">
        <v>768</v>
      </c>
      <c r="AI845" t="s">
        <v>769</v>
      </c>
      <c r="AJ845" t="s">
        <v>770</v>
      </c>
      <c r="AK845" t="s">
        <v>771</v>
      </c>
      <c r="AL845" t="s">
        <v>772</v>
      </c>
      <c r="AM845" t="s">
        <v>773</v>
      </c>
      <c r="AN845" t="s">
        <v>774</v>
      </c>
      <c r="AO845" t="s">
        <v>775</v>
      </c>
      <c r="AP845" t="s">
        <v>776</v>
      </c>
      <c r="AQ845" t="s">
        <v>777</v>
      </c>
      <c r="AR845" t="s">
        <v>778</v>
      </c>
      <c r="AS845" t="s">
        <v>779</v>
      </c>
    </row>
    <row r="846" spans="1:45" x14ac:dyDescent="0.35">
      <c r="A846" s="7" t="s">
        <v>862</v>
      </c>
      <c r="B846" s="3">
        <v>1390.31</v>
      </c>
      <c r="D846" s="7" t="s">
        <v>885</v>
      </c>
      <c r="E846" s="3">
        <v>8713.01</v>
      </c>
      <c r="N846" t="s">
        <v>862</v>
      </c>
      <c r="O846">
        <v>1409.6827272727271</v>
      </c>
      <c r="Q846" t="s">
        <v>812</v>
      </c>
      <c r="R846">
        <v>8776.480909090913</v>
      </c>
      <c r="U846" t="s">
        <v>862</v>
      </c>
      <c r="V846">
        <f>INDEX(wpi_data_prepped[[2022-Jan]:[2023-Oct]],MATCH($U846,wpi_data_prepped[category/commodity],0),MATCH(V$845,wpi_data_prepped[[#Headers],[2022-Jan]:[2023-Oct]],0))</f>
        <v>1356.59</v>
      </c>
      <c r="W846">
        <f>INDEX(wpi_data_prepped[[2022-Jan]:[2023-Oct]],MATCH($U846,wpi_data_prepped[category/commodity],0),MATCH(W$845,wpi_data_prepped[[#Headers],[2022-Jan]:[2023-Oct]],0))</f>
        <v>1387.71</v>
      </c>
      <c r="X846">
        <f>INDEX(wpi_data_prepped[[2022-Jan]:[2023-Oct]],MATCH($U846,wpi_data_prepped[category/commodity],0),MATCH(X$845,wpi_data_prepped[[#Headers],[2022-Jan]:[2023-Oct]],0))</f>
        <v>1432.67</v>
      </c>
      <c r="Y846">
        <f>INDEX(wpi_data_prepped[[2022-Jan]:[2023-Oct]],MATCH($U846,wpi_data_prepped[category/commodity],0),MATCH(Y$845,wpi_data_prepped[[#Headers],[2022-Jan]:[2023-Oct]],0))</f>
        <v>1468.99</v>
      </c>
      <c r="Z846">
        <f>INDEX(wpi_data_prepped[[2022-Jan]:[2023-Oct]],MATCH($U846,wpi_data_prepped[category/commodity],0),MATCH(Z$845,wpi_data_prepped[[#Headers],[2022-Jan]:[2023-Oct]],0))</f>
        <v>1476.77</v>
      </c>
      <c r="AB846">
        <f>INDEX(wpi_data_prepped[[2022-Jan]:[2023-Oct]],MATCH($U846,wpi_data_prepped[category/commodity],0),MATCH(AB$845,wpi_data_prepped[[#Headers],[2022-Jan]:[2023-Oct]],0))</f>
        <v>1461.21</v>
      </c>
      <c r="AC846">
        <f>INDEX(wpi_data_prepped[[2022-Jan]:[2023-Oct]],MATCH($U846,wpi_data_prepped[category/commodity],0),MATCH(AC$845,wpi_data_prepped[[#Headers],[2022-Jan]:[2023-Oct]],0))</f>
        <v>1437.86</v>
      </c>
      <c r="AD846">
        <f>INDEX(wpi_data_prepped[[2022-Jan]:[2023-Oct]],MATCH($U846,wpi_data_prepped[category/commodity],0),MATCH(AD$845,wpi_data_prepped[[#Headers],[2022-Jan]:[2023-Oct]],0))</f>
        <v>1441.32</v>
      </c>
      <c r="AE846">
        <f>INDEX(wpi_data_prepped[[2022-Jan]:[2023-Oct]],MATCH($U846,wpi_data_prepped[category/commodity],0),MATCH(AE$845,wpi_data_prepped[[#Headers],[2022-Jan]:[2023-Oct]],0))</f>
        <v>1411.92</v>
      </c>
      <c r="AF846">
        <f>INDEX(wpi_data_prepped[[2022-Jan]:[2023-Oct]],MATCH($U846,wpi_data_prepped[category/commodity],0),MATCH(AF$845,wpi_data_prepped[[#Headers],[2022-Jan]:[2023-Oct]],0))</f>
        <v>1415.38</v>
      </c>
      <c r="AG846">
        <f>INDEX(wpi_data_prepped[[2022-Jan]:[2023-Oct]],MATCH($U846,wpi_data_prepped[category/commodity],0),MATCH(AG$845,wpi_data_prepped[[#Headers],[2022-Jan]:[2023-Oct]],0))</f>
        <v>1423.16</v>
      </c>
      <c r="AI846">
        <f>INDEX(wpi_data_prepped[[2022-Jan]:[2023-Oct]],MATCH($U846,wpi_data_prepped[category/commodity],0),MATCH(AI$845,wpi_data_prepped[[#Headers],[2022-Jan]:[2023-Oct]],0))</f>
        <v>1414.52</v>
      </c>
      <c r="AJ846">
        <f>INDEX(wpi_data_prepped[[2022-Jan]:[2023-Oct]],MATCH($U846,wpi_data_prepped[category/commodity],0),MATCH(AJ$845,wpi_data_prepped[[#Headers],[2022-Jan]:[2023-Oct]],0))</f>
        <v>1410.19</v>
      </c>
      <c r="AK846">
        <f>INDEX(wpi_data_prepped[[2022-Jan]:[2023-Oct]],MATCH($U846,wpi_data_prepped[category/commodity],0),MATCH(AK$845,wpi_data_prepped[[#Headers],[2022-Jan]:[2023-Oct]],0))</f>
        <v>1399.82</v>
      </c>
      <c r="AL846">
        <f>INDEX(wpi_data_prepped[[2022-Jan]:[2023-Oct]],MATCH($U846,wpi_data_prepped[category/commodity],0),MATCH(AL$845,wpi_data_prepped[[#Headers],[2022-Jan]:[2023-Oct]],0))</f>
        <v>1390.31</v>
      </c>
      <c r="AM846">
        <f>INDEX(wpi_data_prepped[[2022-Jan]:[2023-Oct]],MATCH($U846,wpi_data_prepped[category/commodity],0),MATCH(AM$845,wpi_data_prepped[[#Headers],[2022-Jan]:[2023-Oct]],0))</f>
        <v>1387.71</v>
      </c>
      <c r="AN846">
        <f>INDEX(wpi_data_prepped[[2022-Jan]:[2023-Oct]],MATCH($U846,wpi_data_prepped[category/commodity],0),MATCH(AN$845,wpi_data_prepped[[#Headers],[2022-Jan]:[2023-Oct]],0))</f>
        <v>1373.88</v>
      </c>
      <c r="AO846">
        <f>INDEX(wpi_data_prepped[[2022-Jan]:[2023-Oct]],MATCH($U846,wpi_data_prepped[category/commodity],0),MATCH(AO$845,wpi_data_prepped[[#Headers],[2022-Jan]:[2023-Oct]],0))</f>
        <v>1373.01</v>
      </c>
      <c r="AP846">
        <f>INDEX(wpi_data_prepped[[2022-Jan]:[2023-Oct]],MATCH($U846,wpi_data_prepped[category/commodity],0),MATCH(AP$845,wpi_data_prepped[[#Headers],[2022-Jan]:[2023-Oct]],0))</f>
        <v>1382.53</v>
      </c>
      <c r="AQ846">
        <f>INDEX(wpi_data_prepped[[2022-Jan]:[2023-Oct]],MATCH($U846,wpi_data_prepped[category/commodity],0),MATCH(AQ$845,wpi_data_prepped[[#Headers],[2022-Jan]:[2023-Oct]],0))</f>
        <v>1390.31</v>
      </c>
      <c r="AR846">
        <f>INDEX(wpi_data_prepped[[2022-Jan]:[2023-Oct]],MATCH($U846,wpi_data_prepped[category/commodity],0),MATCH(AR$845,wpi_data_prepped[[#Headers],[2022-Jan]:[2023-Oct]],0))</f>
        <v>1386.85</v>
      </c>
      <c r="AS846">
        <f>INDEX(wpi_data_prepped[[2022-Jan]:[2023-Oct]],MATCH($U846,wpi_data_prepped[category/commodity],0),MATCH(AS$845,wpi_data_prepped[[#Headers],[2022-Jan]:[2023-Oct]],0))</f>
        <v>1390.31</v>
      </c>
    </row>
    <row r="847" spans="1:45" x14ac:dyDescent="0.35">
      <c r="A847" s="7" t="s">
        <v>788</v>
      </c>
      <c r="B847" s="3">
        <v>1295.28</v>
      </c>
      <c r="D847" s="8" t="s">
        <v>887</v>
      </c>
      <c r="E847" s="4">
        <v>3913.2</v>
      </c>
      <c r="N847" t="s">
        <v>788</v>
      </c>
      <c r="O847">
        <v>1336.8531818181816</v>
      </c>
      <c r="Q847" t="s">
        <v>584</v>
      </c>
      <c r="R847">
        <v>3750.5868181818182</v>
      </c>
      <c r="U847" t="s">
        <v>788</v>
      </c>
      <c r="V847">
        <f>INDEX(wpi_data_prepped[[2022-Jan]:[2023-Oct]],MATCH($U847,wpi_data_prepped[category/commodity],0),MATCH(V$845,wpi_data_prepped[[#Headers],[2022-Jan]:[2023-Oct]],0))</f>
        <v>1303.48</v>
      </c>
      <c r="W847">
        <f>INDEX(wpi_data_prepped[[2022-Jan]:[2023-Oct]],MATCH($U847,wpi_data_prepped[category/commodity],0),MATCH(W$845,wpi_data_prepped[[#Headers],[2022-Jan]:[2023-Oct]],0))</f>
        <v>1339.92</v>
      </c>
      <c r="X847">
        <f>INDEX(wpi_data_prepped[[2022-Jan]:[2023-Oct]],MATCH($U847,wpi_data_prepped[category/commodity],0),MATCH(X$845,wpi_data_prepped[[#Headers],[2022-Jan]:[2023-Oct]],0))</f>
        <v>1434.65</v>
      </c>
      <c r="Y847">
        <f>INDEX(wpi_data_prepped[[2022-Jan]:[2023-Oct]],MATCH($U847,wpi_data_prepped[category/commodity],0),MATCH(Y$845,wpi_data_prepped[[#Headers],[2022-Jan]:[2023-Oct]],0))</f>
        <v>1468.35</v>
      </c>
      <c r="Z847">
        <f>INDEX(wpi_data_prepped[[2022-Jan]:[2023-Oct]],MATCH($U847,wpi_data_prepped[category/commodity],0),MATCH(Z$845,wpi_data_prepped[[#Headers],[2022-Jan]:[2023-Oct]],0))</f>
        <v>1441.03</v>
      </c>
      <c r="AB847">
        <f>INDEX(wpi_data_prepped[[2022-Jan]:[2023-Oct]],MATCH($U847,wpi_data_prepped[category/commodity],0),MATCH(AB$845,wpi_data_prepped[[#Headers],[2022-Jan]:[2023-Oct]],0))</f>
        <v>1366.33</v>
      </c>
      <c r="AC847">
        <f>INDEX(wpi_data_prepped[[2022-Jan]:[2023-Oct]],MATCH($U847,wpi_data_prepped[category/commodity],0),MATCH(AC$845,wpi_data_prepped[[#Headers],[2022-Jan]:[2023-Oct]],0))</f>
        <v>1360.87</v>
      </c>
      <c r="AD847">
        <f>INDEX(wpi_data_prepped[[2022-Jan]:[2023-Oct]],MATCH($U847,wpi_data_prepped[category/commodity],0),MATCH(AD$845,wpi_data_prepped[[#Headers],[2022-Jan]:[2023-Oct]],0))</f>
        <v>1356.31</v>
      </c>
      <c r="AE847">
        <f>INDEX(wpi_data_prepped[[2022-Jan]:[2023-Oct]],MATCH($U847,wpi_data_prepped[category/commodity],0),MATCH(AE$845,wpi_data_prepped[[#Headers],[2022-Jan]:[2023-Oct]],0))</f>
        <v>1335.36</v>
      </c>
      <c r="AF847">
        <f>INDEX(wpi_data_prepped[[2022-Jan]:[2023-Oct]],MATCH($U847,wpi_data_prepped[category/commodity],0),MATCH(AF$845,wpi_data_prepped[[#Headers],[2022-Jan]:[2023-Oct]],0))</f>
        <v>1326.26</v>
      </c>
      <c r="AG847">
        <f>INDEX(wpi_data_prepped[[2022-Jan]:[2023-Oct]],MATCH($U847,wpi_data_prepped[category/commodity],0),MATCH(AG$845,wpi_data_prepped[[#Headers],[2022-Jan]:[2023-Oct]],0))</f>
        <v>1304.3900000000001</v>
      </c>
      <c r="AI847">
        <f>INDEX(wpi_data_prepped[[2022-Jan]:[2023-Oct]],MATCH($U847,wpi_data_prepped[category/commodity],0),MATCH(AI$845,wpi_data_prepped[[#Headers],[2022-Jan]:[2023-Oct]],0))</f>
        <v>1304.3900000000001</v>
      </c>
      <c r="AJ847">
        <f>INDEX(wpi_data_prepped[[2022-Jan]:[2023-Oct]],MATCH($U847,wpi_data_prepped[category/commodity],0),MATCH(AJ$845,wpi_data_prepped[[#Headers],[2022-Jan]:[2023-Oct]],0))</f>
        <v>1325.34</v>
      </c>
      <c r="AK847">
        <f>INDEX(wpi_data_prepped[[2022-Jan]:[2023-Oct]],MATCH($U847,wpi_data_prepped[category/commodity],0),MATCH(AK$845,wpi_data_prepped[[#Headers],[2022-Jan]:[2023-Oct]],0))</f>
        <v>1338.1</v>
      </c>
      <c r="AL847">
        <f>INDEX(wpi_data_prepped[[2022-Jan]:[2023-Oct]],MATCH($U847,wpi_data_prepped[category/commodity],0),MATCH(AL$845,wpi_data_prepped[[#Headers],[2022-Jan]:[2023-Oct]],0))</f>
        <v>1331.72</v>
      </c>
      <c r="AM847">
        <f>INDEX(wpi_data_prepped[[2022-Jan]:[2023-Oct]],MATCH($U847,wpi_data_prepped[category/commodity],0),MATCH(AM$845,wpi_data_prepped[[#Headers],[2022-Jan]:[2023-Oct]],0))</f>
        <v>1323.52</v>
      </c>
      <c r="AN847">
        <f>INDEX(wpi_data_prepped[[2022-Jan]:[2023-Oct]],MATCH($U847,wpi_data_prepped[category/commodity],0),MATCH(AN$845,wpi_data_prepped[[#Headers],[2022-Jan]:[2023-Oct]],0))</f>
        <v>1308.04</v>
      </c>
      <c r="AO847">
        <f>INDEX(wpi_data_prepped[[2022-Jan]:[2023-Oct]],MATCH($U847,wpi_data_prepped[category/commodity],0),MATCH(AO$845,wpi_data_prepped[[#Headers],[2022-Jan]:[2023-Oct]],0))</f>
        <v>1289.82</v>
      </c>
      <c r="AP847">
        <f>INDEX(wpi_data_prepped[[2022-Jan]:[2023-Oct]],MATCH($U847,wpi_data_prepped[category/commodity],0),MATCH(AP$845,wpi_data_prepped[[#Headers],[2022-Jan]:[2023-Oct]],0))</f>
        <v>1274.33</v>
      </c>
      <c r="AQ847">
        <f>INDEX(wpi_data_prepped[[2022-Jan]:[2023-Oct]],MATCH($U847,wpi_data_prepped[category/commodity],0),MATCH(AQ$845,wpi_data_prepped[[#Headers],[2022-Jan]:[2023-Oct]],0))</f>
        <v>1280.71</v>
      </c>
      <c r="AR847">
        <f>INDEX(wpi_data_prepped[[2022-Jan]:[2023-Oct]],MATCH($U847,wpi_data_prepped[category/commodity],0),MATCH(AR$845,wpi_data_prepped[[#Headers],[2022-Jan]:[2023-Oct]],0))</f>
        <v>1302.57</v>
      </c>
      <c r="AS847">
        <f>INDEX(wpi_data_prepped[[2022-Jan]:[2023-Oct]],MATCH($U847,wpi_data_prepped[category/commodity],0),MATCH(AS$845,wpi_data_prepped[[#Headers],[2022-Jan]:[2023-Oct]],0))</f>
        <v>1295.28</v>
      </c>
    </row>
    <row r="848" spans="1:45" x14ac:dyDescent="0.35">
      <c r="A848" s="8" t="s">
        <v>176</v>
      </c>
      <c r="B848" s="4">
        <v>1183.8699999999999</v>
      </c>
      <c r="D848" s="8" t="s">
        <v>886</v>
      </c>
      <c r="E848" s="4">
        <v>1923.91</v>
      </c>
      <c r="N848" t="s">
        <v>176</v>
      </c>
      <c r="O848">
        <v>1175.3590909090906</v>
      </c>
      <c r="Q848" t="s">
        <v>464</v>
      </c>
      <c r="R848">
        <v>1902.3168181818185</v>
      </c>
      <c r="U848" t="s">
        <v>176</v>
      </c>
      <c r="V848">
        <f>INDEX(wpi_data_prepped[[2022-Jan]:[2023-Oct]],MATCH($U848,wpi_data_prepped[category/commodity],0),MATCH(V$845,wpi_data_prepped[[#Headers],[2022-Jan]:[2023-Oct]],0))</f>
        <v>975.84</v>
      </c>
      <c r="W848">
        <f>INDEX(wpi_data_prepped[[2022-Jan]:[2023-Oct]],MATCH($U848,wpi_data_prepped[category/commodity],0),MATCH(W$845,wpi_data_prepped[[#Headers],[2022-Jan]:[2023-Oct]],0))</f>
        <v>1021.59</v>
      </c>
      <c r="X848">
        <f>INDEX(wpi_data_prepped[[2022-Jan]:[2023-Oct]],MATCH($U848,wpi_data_prepped[category/commodity],0),MATCH(X$845,wpi_data_prepped[[#Headers],[2022-Jan]:[2023-Oct]],0))</f>
        <v>1113.0999999999999</v>
      </c>
      <c r="Y848">
        <f>INDEX(wpi_data_prepped[[2022-Jan]:[2023-Oct]],MATCH($U848,wpi_data_prepped[category/commodity],0),MATCH(Y$845,wpi_data_prepped[[#Headers],[2022-Jan]:[2023-Oct]],0))</f>
        <v>1200.32</v>
      </c>
      <c r="Z848">
        <f>INDEX(wpi_data_prepped[[2022-Jan]:[2023-Oct]],MATCH($U848,wpi_data_prepped[category/commodity],0),MATCH(Z$845,wpi_data_prepped[[#Headers],[2022-Jan]:[2023-Oct]],0))</f>
        <v>1334.72</v>
      </c>
      <c r="AB848">
        <f>INDEX(wpi_data_prepped[[2022-Jan]:[2023-Oct]],MATCH($U848,wpi_data_prepped[category/commodity],0),MATCH(AB$845,wpi_data_prepped[[#Headers],[2022-Jan]:[2023-Oct]],0))</f>
        <v>1356.88</v>
      </c>
      <c r="AC848">
        <f>INDEX(wpi_data_prepped[[2022-Jan]:[2023-Oct]],MATCH($U848,wpi_data_prepped[category/commodity],0),MATCH(AC$845,wpi_data_prepped[[#Headers],[2022-Jan]:[2023-Oct]],0))</f>
        <v>1350.44</v>
      </c>
      <c r="AD848">
        <f>INDEX(wpi_data_prepped[[2022-Jan]:[2023-Oct]],MATCH($U848,wpi_data_prepped[category/commodity],0),MATCH(AD$845,wpi_data_prepped[[#Headers],[2022-Jan]:[2023-Oct]],0))</f>
        <v>1248.21</v>
      </c>
      <c r="AE848">
        <f>INDEX(wpi_data_prepped[[2022-Jan]:[2023-Oct]],MATCH($U848,wpi_data_prepped[category/commodity],0),MATCH(AE$845,wpi_data_prepped[[#Headers],[2022-Jan]:[2023-Oct]],0))</f>
        <v>1227.48</v>
      </c>
      <c r="AF848">
        <f>INDEX(wpi_data_prepped[[2022-Jan]:[2023-Oct]],MATCH($U848,wpi_data_prepped[category/commodity],0),MATCH(AF$845,wpi_data_prepped[[#Headers],[2022-Jan]:[2023-Oct]],0))</f>
        <v>1189.5899999999999</v>
      </c>
      <c r="AG848">
        <f>INDEX(wpi_data_prepped[[2022-Jan]:[2023-Oct]],MATCH($U848,wpi_data_prepped[category/commodity],0),MATCH(AG$845,wpi_data_prepped[[#Headers],[2022-Jan]:[2023-Oct]],0))</f>
        <v>1232.49</v>
      </c>
      <c r="AI848">
        <f>INDEX(wpi_data_prepped[[2022-Jan]:[2023-Oct]],MATCH($U848,wpi_data_prepped[category/commodity],0),MATCH(AI$845,wpi_data_prepped[[#Headers],[2022-Jan]:[2023-Oct]],0))</f>
        <v>1175.29</v>
      </c>
      <c r="AJ848">
        <f>INDEX(wpi_data_prepped[[2022-Jan]:[2023-Oct]],MATCH($U848,wpi_data_prepped[category/commodity],0),MATCH(AJ$845,wpi_data_prepped[[#Headers],[2022-Jan]:[2023-Oct]],0))</f>
        <v>1150.27</v>
      </c>
      <c r="AK848">
        <f>INDEX(wpi_data_prepped[[2022-Jan]:[2023-Oct]],MATCH($U848,wpi_data_prepped[category/commodity],0),MATCH(AK$845,wpi_data_prepped[[#Headers],[2022-Jan]:[2023-Oct]],0))</f>
        <v>1183.1600000000001</v>
      </c>
      <c r="AL848">
        <f>INDEX(wpi_data_prepped[[2022-Jan]:[2023-Oct]],MATCH($U848,wpi_data_prepped[category/commodity],0),MATCH(AL$845,wpi_data_prepped[[#Headers],[2022-Jan]:[2023-Oct]],0))</f>
        <v>1181.01</v>
      </c>
      <c r="AM848">
        <f>INDEX(wpi_data_prepped[[2022-Jan]:[2023-Oct]],MATCH($U848,wpi_data_prepped[category/commodity],0),MATCH(AM$845,wpi_data_prepped[[#Headers],[2022-Jan]:[2023-Oct]],0))</f>
        <v>1140.98</v>
      </c>
      <c r="AN848">
        <f>INDEX(wpi_data_prepped[[2022-Jan]:[2023-Oct]],MATCH($U848,wpi_data_prepped[category/commodity],0),MATCH(AN$845,wpi_data_prepped[[#Headers],[2022-Jan]:[2023-Oct]],0))</f>
        <v>1118.0999999999999</v>
      </c>
      <c r="AO848">
        <f>INDEX(wpi_data_prepped[[2022-Jan]:[2023-Oct]],MATCH($U848,wpi_data_prepped[category/commodity],0),MATCH(AO$845,wpi_data_prepped[[#Headers],[2022-Jan]:[2023-Oct]],0))</f>
        <v>1092.3699999999999</v>
      </c>
      <c r="AP848">
        <f>INDEX(wpi_data_prepped[[2022-Jan]:[2023-Oct]],MATCH($U848,wpi_data_prepped[category/commodity],0),MATCH(AP$845,wpi_data_prepped[[#Headers],[2022-Jan]:[2023-Oct]],0))</f>
        <v>1085.22</v>
      </c>
      <c r="AQ848">
        <f>INDEX(wpi_data_prepped[[2022-Jan]:[2023-Oct]],MATCH($U848,wpi_data_prepped[category/commodity],0),MATCH(AQ$845,wpi_data_prepped[[#Headers],[2022-Jan]:[2023-Oct]],0))</f>
        <v>1126.68</v>
      </c>
      <c r="AR848">
        <f>INDEX(wpi_data_prepped[[2022-Jan]:[2023-Oct]],MATCH($U848,wpi_data_prepped[category/commodity],0),MATCH(AR$845,wpi_data_prepped[[#Headers],[2022-Jan]:[2023-Oct]],0))</f>
        <v>1170.29</v>
      </c>
      <c r="AS848">
        <f>INDEX(wpi_data_prepped[[2022-Jan]:[2023-Oct]],MATCH($U848,wpi_data_prepped[category/commodity],0),MATCH(AS$845,wpi_data_prepped[[#Headers],[2022-Jan]:[2023-Oct]],0))</f>
        <v>1183.8699999999999</v>
      </c>
    </row>
    <row r="849" spans="1:45" x14ac:dyDescent="0.35">
      <c r="A849" s="8" t="s">
        <v>869</v>
      </c>
      <c r="B849" s="4">
        <v>836.29</v>
      </c>
      <c r="N849" t="s">
        <v>869</v>
      </c>
      <c r="O849">
        <v>870.63272727272715</v>
      </c>
      <c r="U849" t="s">
        <v>869</v>
      </c>
      <c r="V849">
        <f>INDEX(wpi_data_prepped[[2022-Jan]:[2023-Oct]],MATCH($U849,wpi_data_prepped[category/commodity],0),MATCH(V$845,wpi_data_prepped[[#Headers],[2022-Jan]:[2023-Oct]],0))</f>
        <v>841.8</v>
      </c>
      <c r="W849">
        <f>INDEX(wpi_data_prepped[[2022-Jan]:[2023-Oct]],MATCH($U849,wpi_data_prepped[category/commodity],0),MATCH(W$845,wpi_data_prepped[[#Headers],[2022-Jan]:[2023-Oct]],0))</f>
        <v>852.21</v>
      </c>
      <c r="X849">
        <f>INDEX(wpi_data_prepped[[2022-Jan]:[2023-Oct]],MATCH($U849,wpi_data_prepped[category/commodity],0),MATCH(X$845,wpi_data_prepped[[#Headers],[2022-Jan]:[2023-Oct]],0))</f>
        <v>871.19</v>
      </c>
      <c r="Y849">
        <f>INDEX(wpi_data_prepped[[2022-Jan]:[2023-Oct]],MATCH($U849,wpi_data_prepped[category/commodity],0),MATCH(Y$845,wpi_data_prepped[[#Headers],[2022-Jan]:[2023-Oct]],0))</f>
        <v>892.01</v>
      </c>
      <c r="Z849">
        <f>INDEX(wpi_data_prepped[[2022-Jan]:[2023-Oct]],MATCH($U849,wpi_data_prepped[category/commodity],0),MATCH(Z$845,wpi_data_prepped[[#Headers],[2022-Jan]:[2023-Oct]],0))</f>
        <v>899.96</v>
      </c>
      <c r="AB849">
        <f>INDEX(wpi_data_prepped[[2022-Jan]:[2023-Oct]],MATCH($U849,wpi_data_prepped[category/commodity],0),MATCH(AB$845,wpi_data_prepped[[#Headers],[2022-Jan]:[2023-Oct]],0))</f>
        <v>907.92</v>
      </c>
      <c r="AC849">
        <f>INDEX(wpi_data_prepped[[2022-Jan]:[2023-Oct]],MATCH($U849,wpi_data_prepped[category/commodity],0),MATCH(AC$845,wpi_data_prepped[[#Headers],[2022-Jan]:[2023-Oct]],0))</f>
        <v>904.86</v>
      </c>
      <c r="AD849">
        <f>INDEX(wpi_data_prepped[[2022-Jan]:[2023-Oct]],MATCH($U849,wpi_data_prepped[category/commodity],0),MATCH(AD$845,wpi_data_prepped[[#Headers],[2022-Jan]:[2023-Oct]],0))</f>
        <v>897.52</v>
      </c>
      <c r="AE849">
        <f>INDEX(wpi_data_prepped[[2022-Jan]:[2023-Oct]],MATCH($U849,wpi_data_prepped[category/commodity],0),MATCH(AE$845,wpi_data_prepped[[#Headers],[2022-Jan]:[2023-Oct]],0))</f>
        <v>893.84</v>
      </c>
      <c r="AF849">
        <f>INDEX(wpi_data_prepped[[2022-Jan]:[2023-Oct]],MATCH($U849,wpi_data_prepped[category/commodity],0),MATCH(AF$845,wpi_data_prepped[[#Headers],[2022-Jan]:[2023-Oct]],0))</f>
        <v>895.68</v>
      </c>
      <c r="AG849">
        <f>INDEX(wpi_data_prepped[[2022-Jan]:[2023-Oct]],MATCH($U849,wpi_data_prepped[category/commodity],0),MATCH(AG$845,wpi_data_prepped[[#Headers],[2022-Jan]:[2023-Oct]],0))</f>
        <v>888.94</v>
      </c>
      <c r="AI849">
        <f>INDEX(wpi_data_prepped[[2022-Jan]:[2023-Oct]],MATCH($U849,wpi_data_prepped[category/commodity],0),MATCH(AI$845,wpi_data_prepped[[#Headers],[2022-Jan]:[2023-Oct]],0))</f>
        <v>881.6</v>
      </c>
      <c r="AJ849">
        <f>INDEX(wpi_data_prepped[[2022-Jan]:[2023-Oct]],MATCH($U849,wpi_data_prepped[category/commodity],0),MATCH(AJ$845,wpi_data_prepped[[#Headers],[2022-Jan]:[2023-Oct]],0))</f>
        <v>877.31</v>
      </c>
      <c r="AK849">
        <f>INDEX(wpi_data_prepped[[2022-Jan]:[2023-Oct]],MATCH($U849,wpi_data_prepped[category/commodity],0),MATCH(AK$845,wpi_data_prepped[[#Headers],[2022-Jan]:[2023-Oct]],0))</f>
        <v>874.25</v>
      </c>
      <c r="AL849">
        <f>INDEX(wpi_data_prepped[[2022-Jan]:[2023-Oct]],MATCH($U849,wpi_data_prepped[category/commodity],0),MATCH(AL$845,wpi_data_prepped[[#Headers],[2022-Jan]:[2023-Oct]],0))</f>
        <v>870.58</v>
      </c>
      <c r="AM849">
        <f>INDEX(wpi_data_prepped[[2022-Jan]:[2023-Oct]],MATCH($U849,wpi_data_prepped[category/commodity],0),MATCH(AM$845,wpi_data_prepped[[#Headers],[2022-Jan]:[2023-Oct]],0))</f>
        <v>863.84</v>
      </c>
      <c r="AN849">
        <f>INDEX(wpi_data_prepped[[2022-Jan]:[2023-Oct]],MATCH($U849,wpi_data_prepped[category/commodity],0),MATCH(AN$845,wpi_data_prepped[[#Headers],[2022-Jan]:[2023-Oct]],0))</f>
        <v>854.66</v>
      </c>
      <c r="AO849">
        <f>INDEX(wpi_data_prepped[[2022-Jan]:[2023-Oct]],MATCH($U849,wpi_data_prepped[category/commodity],0),MATCH(AO$845,wpi_data_prepped[[#Headers],[2022-Jan]:[2023-Oct]],0))</f>
        <v>844.25</v>
      </c>
      <c r="AP849">
        <f>INDEX(wpi_data_prepped[[2022-Jan]:[2023-Oct]],MATCH($U849,wpi_data_prepped[category/commodity],0),MATCH(AP$845,wpi_data_prepped[[#Headers],[2022-Jan]:[2023-Oct]],0))</f>
        <v>836.29</v>
      </c>
      <c r="AQ849">
        <f>INDEX(wpi_data_prepped[[2022-Jan]:[2023-Oct]],MATCH($U849,wpi_data_prepped[category/commodity],0),MATCH(AQ$845,wpi_data_prepped[[#Headers],[2022-Jan]:[2023-Oct]],0))</f>
        <v>834.46</v>
      </c>
      <c r="AR849">
        <f>INDEX(wpi_data_prepped[[2022-Jan]:[2023-Oct]],MATCH($U849,wpi_data_prepped[category/commodity],0),MATCH(AR$845,wpi_data_prepped[[#Headers],[2022-Jan]:[2023-Oct]],0))</f>
        <v>834.46</v>
      </c>
      <c r="AS849">
        <f>INDEX(wpi_data_prepped[[2022-Jan]:[2023-Oct]],MATCH($U849,wpi_data_prepped[category/commodity],0),MATCH(AS$845,wpi_data_prepped[[#Headers],[2022-Jan]:[2023-Oct]],0))</f>
        <v>836.29</v>
      </c>
    </row>
    <row r="850" spans="1:45" x14ac:dyDescent="0.35">
      <c r="A850" s="8" t="s">
        <v>297</v>
      </c>
      <c r="B850" s="4">
        <v>761.26</v>
      </c>
      <c r="N850" t="s">
        <v>297</v>
      </c>
      <c r="O850">
        <v>718.13363636363636</v>
      </c>
      <c r="U850" t="s">
        <v>297</v>
      </c>
      <c r="V850">
        <f>INDEX(wpi_data_prepped[[2022-Jan]:[2023-Oct]],MATCH($U850,wpi_data_prepped[category/commodity],0),MATCH(V$845,wpi_data_prepped[[#Headers],[2022-Jan]:[2023-Oct]],0))</f>
        <v>664.94</v>
      </c>
      <c r="W850">
        <f>INDEX(wpi_data_prepped[[2022-Jan]:[2023-Oct]],MATCH($U850,wpi_data_prepped[category/commodity],0),MATCH(W$845,wpi_data_prepped[[#Headers],[2022-Jan]:[2023-Oct]],0))</f>
        <v>666.63</v>
      </c>
      <c r="X850">
        <f>INDEX(wpi_data_prepped[[2022-Jan]:[2023-Oct]],MATCH($U850,wpi_data_prepped[category/commodity],0),MATCH(X$845,wpi_data_prepped[[#Headers],[2022-Jan]:[2023-Oct]],0))</f>
        <v>682.69</v>
      </c>
      <c r="Y850">
        <f>INDEX(wpi_data_prepped[[2022-Jan]:[2023-Oct]],MATCH($U850,wpi_data_prepped[category/commodity],0),MATCH(Y$845,wpi_data_prepped[[#Headers],[2022-Jan]:[2023-Oct]],0))</f>
        <v>689.87</v>
      </c>
      <c r="Z850">
        <f>INDEX(wpi_data_prepped[[2022-Jan]:[2023-Oct]],MATCH($U850,wpi_data_prepped[category/commodity],0),MATCH(Z$845,wpi_data_prepped[[#Headers],[2022-Jan]:[2023-Oct]],0))</f>
        <v>692.4</v>
      </c>
      <c r="AB850">
        <f>INDEX(wpi_data_prepped[[2022-Jan]:[2023-Oct]],MATCH($U850,wpi_data_prepped[category/commodity],0),MATCH(AB$845,wpi_data_prepped[[#Headers],[2022-Jan]:[2023-Oct]],0))</f>
        <v>693.67</v>
      </c>
      <c r="AC850">
        <f>INDEX(wpi_data_prepped[[2022-Jan]:[2023-Oct]],MATCH($U850,wpi_data_prepped[category/commodity],0),MATCH(AC$845,wpi_data_prepped[[#Headers],[2022-Jan]:[2023-Oct]],0))</f>
        <v>694.51</v>
      </c>
      <c r="AD850">
        <f>INDEX(wpi_data_prepped[[2022-Jan]:[2023-Oct]],MATCH($U850,wpi_data_prepped[category/commodity],0),MATCH(AD$845,wpi_data_prepped[[#Headers],[2022-Jan]:[2023-Oct]],0))</f>
        <v>699.16</v>
      </c>
      <c r="AE850">
        <f>INDEX(wpi_data_prepped[[2022-Jan]:[2023-Oct]],MATCH($U850,wpi_data_prepped[category/commodity],0),MATCH(AE$845,wpi_data_prepped[[#Headers],[2022-Jan]:[2023-Oct]],0))</f>
        <v>699.16</v>
      </c>
      <c r="AF850">
        <f>INDEX(wpi_data_prepped[[2022-Jan]:[2023-Oct]],MATCH($U850,wpi_data_prepped[category/commodity],0),MATCH(AF$845,wpi_data_prepped[[#Headers],[2022-Jan]:[2023-Oct]],0))</f>
        <v>704.23</v>
      </c>
      <c r="AG850">
        <f>INDEX(wpi_data_prepped[[2022-Jan]:[2023-Oct]],MATCH($U850,wpi_data_prepped[category/commodity],0),MATCH(AG$845,wpi_data_prepped[[#Headers],[2022-Jan]:[2023-Oct]],0))</f>
        <v>706.77</v>
      </c>
      <c r="AI850">
        <f>INDEX(wpi_data_prepped[[2022-Jan]:[2023-Oct]],MATCH($U850,wpi_data_prepped[category/commodity],0),MATCH(AI$845,wpi_data_prepped[[#Headers],[2022-Jan]:[2023-Oct]],0))</f>
        <v>717.75</v>
      </c>
      <c r="AJ850">
        <f>INDEX(wpi_data_prepped[[2022-Jan]:[2023-Oct]],MATCH($U850,wpi_data_prepped[category/commodity],0),MATCH(AJ$845,wpi_data_prepped[[#Headers],[2022-Jan]:[2023-Oct]],0))</f>
        <v>730.42</v>
      </c>
      <c r="AK850">
        <f>INDEX(wpi_data_prepped[[2022-Jan]:[2023-Oct]],MATCH($U850,wpi_data_prepped[category/commodity],0),MATCH(AK$845,wpi_data_prepped[[#Headers],[2022-Jan]:[2023-Oct]],0))</f>
        <v>735.49</v>
      </c>
      <c r="AL850">
        <f>INDEX(wpi_data_prepped[[2022-Jan]:[2023-Oct]],MATCH($U850,wpi_data_prepped[category/commodity],0),MATCH(AL$845,wpi_data_prepped[[#Headers],[2022-Jan]:[2023-Oct]],0))</f>
        <v>740.56</v>
      </c>
      <c r="AM850">
        <f>INDEX(wpi_data_prepped[[2022-Jan]:[2023-Oct]],MATCH($U850,wpi_data_prepped[category/commodity],0),MATCH(AM$845,wpi_data_prepped[[#Headers],[2022-Jan]:[2023-Oct]],0))</f>
        <v>746.48</v>
      </c>
      <c r="AN850">
        <f>INDEX(wpi_data_prepped[[2022-Jan]:[2023-Oct]],MATCH($U850,wpi_data_prepped[category/commodity],0),MATCH(AN$845,wpi_data_prepped[[#Headers],[2022-Jan]:[2023-Oct]],0))</f>
        <v>749.01</v>
      </c>
      <c r="AO850">
        <f>INDEX(wpi_data_prepped[[2022-Jan]:[2023-Oct]],MATCH($U850,wpi_data_prepped[category/commodity],0),MATCH(AO$845,wpi_data_prepped[[#Headers],[2022-Jan]:[2023-Oct]],0))</f>
        <v>753.24</v>
      </c>
      <c r="AP850">
        <f>INDEX(wpi_data_prepped[[2022-Jan]:[2023-Oct]],MATCH($U850,wpi_data_prepped[category/commodity],0),MATCH(AP$845,wpi_data_prepped[[#Headers],[2022-Jan]:[2023-Oct]],0))</f>
        <v>751.55</v>
      </c>
      <c r="AQ850">
        <f>INDEX(wpi_data_prepped[[2022-Jan]:[2023-Oct]],MATCH($U850,wpi_data_prepped[category/commodity],0),MATCH(AQ$845,wpi_data_prepped[[#Headers],[2022-Jan]:[2023-Oct]],0))</f>
        <v>758.73</v>
      </c>
      <c r="AR850">
        <f>INDEX(wpi_data_prepped[[2022-Jan]:[2023-Oct]],MATCH($U850,wpi_data_prepped[category/commodity],0),MATCH(AR$845,wpi_data_prepped[[#Headers],[2022-Jan]:[2023-Oct]],0))</f>
        <v>760.42</v>
      </c>
      <c r="AS850">
        <f>INDEX(wpi_data_prepped[[2022-Jan]:[2023-Oct]],MATCH($U850,wpi_data_prepped[category/commodity],0),MATCH(AS$845,wpi_data_prepped[[#Headers],[2022-Jan]:[2023-Oct]],0))</f>
        <v>761.26</v>
      </c>
    </row>
    <row r="851" spans="1:45" x14ac:dyDescent="0.35">
      <c r="A851" s="7" t="s">
        <v>795</v>
      </c>
      <c r="B851" s="3">
        <v>652.21</v>
      </c>
      <c r="N851" t="s">
        <v>795</v>
      </c>
      <c r="O851">
        <v>678.68590909090915</v>
      </c>
      <c r="U851" t="s">
        <v>795</v>
      </c>
      <c r="V851">
        <f>INDEX(wpi_data_prepped[[2022-Jan]:[2023-Oct]],MATCH($U851,wpi_data_prepped[category/commodity],0),MATCH(V$845,wpi_data_prepped[[#Headers],[2022-Jan]:[2023-Oct]],0))</f>
        <v>678.84</v>
      </c>
      <c r="W851">
        <f>INDEX(wpi_data_prepped[[2022-Jan]:[2023-Oct]],MATCH($U851,wpi_data_prepped[category/commodity],0),MATCH(W$845,wpi_data_prepped[[#Headers],[2022-Jan]:[2023-Oct]],0))</f>
        <v>689.49</v>
      </c>
      <c r="X851">
        <f>INDEX(wpi_data_prepped[[2022-Jan]:[2023-Oct]],MATCH($U851,wpi_data_prepped[category/commodity],0),MATCH(X$845,wpi_data_prepped[[#Headers],[2022-Jan]:[2023-Oct]],0))</f>
        <v>696.76</v>
      </c>
      <c r="Y851">
        <f>INDEX(wpi_data_prepped[[2022-Jan]:[2023-Oct]],MATCH($U851,wpi_data_prepped[category/commodity],0),MATCH(Y$845,wpi_data_prepped[[#Headers],[2022-Jan]:[2023-Oct]],0))</f>
        <v>705.96</v>
      </c>
      <c r="Z851">
        <f>INDEX(wpi_data_prepped[[2022-Jan]:[2023-Oct]],MATCH($U851,wpi_data_prepped[category/commodity],0),MATCH(Z$845,wpi_data_prepped[[#Headers],[2022-Jan]:[2023-Oct]],0))</f>
        <v>719.03</v>
      </c>
      <c r="AB851">
        <f>INDEX(wpi_data_prepped[[2022-Jan]:[2023-Oct]],MATCH($U851,wpi_data_prepped[category/commodity],0),MATCH(AB$845,wpi_data_prepped[[#Headers],[2022-Jan]:[2023-Oct]],0))</f>
        <v>722.9</v>
      </c>
      <c r="AC851">
        <f>INDEX(wpi_data_prepped[[2022-Jan]:[2023-Oct]],MATCH($U851,wpi_data_prepped[category/commodity],0),MATCH(AC$845,wpi_data_prepped[[#Headers],[2022-Jan]:[2023-Oct]],0))</f>
        <v>713.22</v>
      </c>
      <c r="AD851">
        <f>INDEX(wpi_data_prepped[[2022-Jan]:[2023-Oct]],MATCH($U851,wpi_data_prepped[category/commodity],0),MATCH(AD$845,wpi_data_prepped[[#Headers],[2022-Jan]:[2023-Oct]],0))</f>
        <v>709.34</v>
      </c>
      <c r="AE851">
        <f>INDEX(wpi_data_prepped[[2022-Jan]:[2023-Oct]],MATCH($U851,wpi_data_prepped[category/commodity],0),MATCH(AE$845,wpi_data_prepped[[#Headers],[2022-Jan]:[2023-Oct]],0))</f>
        <v>699.66</v>
      </c>
      <c r="AF851">
        <f>INDEX(wpi_data_prepped[[2022-Jan]:[2023-Oct]],MATCH($U851,wpi_data_prepped[category/commodity],0),MATCH(AF$845,wpi_data_prepped[[#Headers],[2022-Jan]:[2023-Oct]],0))</f>
        <v>689.98</v>
      </c>
      <c r="AG851">
        <f>INDEX(wpi_data_prepped[[2022-Jan]:[2023-Oct]],MATCH($U851,wpi_data_prepped[category/commodity],0),MATCH(AG$845,wpi_data_prepped[[#Headers],[2022-Jan]:[2023-Oct]],0))</f>
        <v>674</v>
      </c>
      <c r="AI851">
        <f>INDEX(wpi_data_prepped[[2022-Jan]:[2023-Oct]],MATCH($U851,wpi_data_prepped[category/commodity],0),MATCH(AI$845,wpi_data_prepped[[#Headers],[2022-Jan]:[2023-Oct]],0))</f>
        <v>666.25</v>
      </c>
      <c r="AJ851">
        <f>INDEX(wpi_data_prepped[[2022-Jan]:[2023-Oct]],MATCH($U851,wpi_data_prepped[category/commodity],0),MATCH(AJ$845,wpi_data_prepped[[#Headers],[2022-Jan]:[2023-Oct]],0))</f>
        <v>663.83</v>
      </c>
      <c r="AK851">
        <f>INDEX(wpi_data_prepped[[2022-Jan]:[2023-Oct]],MATCH($U851,wpi_data_prepped[category/commodity],0),MATCH(AK$845,wpi_data_prepped[[#Headers],[2022-Jan]:[2023-Oct]],0))</f>
        <v>664.31</v>
      </c>
      <c r="AL851">
        <f>INDEX(wpi_data_prepped[[2022-Jan]:[2023-Oct]],MATCH($U851,wpi_data_prepped[category/commodity],0),MATCH(AL$845,wpi_data_prepped[[#Headers],[2022-Jan]:[2023-Oct]],0))</f>
        <v>662.38</v>
      </c>
      <c r="AM851">
        <f>INDEX(wpi_data_prepped[[2022-Jan]:[2023-Oct]],MATCH($U851,wpi_data_prepped[category/commodity],0),MATCH(AM$845,wpi_data_prepped[[#Headers],[2022-Jan]:[2023-Oct]],0))</f>
        <v>664.31</v>
      </c>
      <c r="AN851">
        <f>INDEX(wpi_data_prepped[[2022-Jan]:[2023-Oct]],MATCH($U851,wpi_data_prepped[category/commodity],0),MATCH(AN$845,wpi_data_prepped[[#Headers],[2022-Jan]:[2023-Oct]],0))</f>
        <v>658.02</v>
      </c>
      <c r="AO851">
        <f>INDEX(wpi_data_prepped[[2022-Jan]:[2023-Oct]],MATCH($U851,wpi_data_prepped[category/commodity],0),MATCH(AO$845,wpi_data_prepped[[#Headers],[2022-Jan]:[2023-Oct]],0))</f>
        <v>652.69000000000005</v>
      </c>
      <c r="AP851">
        <f>INDEX(wpi_data_prepped[[2022-Jan]:[2023-Oct]],MATCH($U851,wpi_data_prepped[category/commodity],0),MATCH(AP$845,wpi_data_prepped[[#Headers],[2022-Jan]:[2023-Oct]],0))</f>
        <v>648.34</v>
      </c>
      <c r="AQ851">
        <f>INDEX(wpi_data_prepped[[2022-Jan]:[2023-Oct]],MATCH($U851,wpi_data_prepped[category/commodity],0),MATCH(AQ$845,wpi_data_prepped[[#Headers],[2022-Jan]:[2023-Oct]],0))</f>
        <v>649.29999999999995</v>
      </c>
      <c r="AR851">
        <f>INDEX(wpi_data_prepped[[2022-Jan]:[2023-Oct]],MATCH($U851,wpi_data_prepped[category/commodity],0),MATCH(AR$845,wpi_data_prepped[[#Headers],[2022-Jan]:[2023-Oct]],0))</f>
        <v>650.27</v>
      </c>
      <c r="AS851">
        <f>INDEX(wpi_data_prepped[[2022-Jan]:[2023-Oct]],MATCH($U851,wpi_data_prepped[category/commodity],0),MATCH(AS$845,wpi_data_prepped[[#Headers],[2022-Jan]:[2023-Oct]],0))</f>
        <v>652.21</v>
      </c>
    </row>
    <row r="852" spans="1:45" x14ac:dyDescent="0.35">
      <c r="A852" s="8" t="s">
        <v>289</v>
      </c>
      <c r="B852" s="4">
        <v>652.16999999999996</v>
      </c>
      <c r="N852" t="s">
        <v>602</v>
      </c>
      <c r="O852">
        <v>646.86500000000001</v>
      </c>
      <c r="U852" t="s">
        <v>602</v>
      </c>
      <c r="V852">
        <f>INDEX(wpi_data_prepped[[2022-Jan]:[2023-Oct]],MATCH($U852,wpi_data_prepped[category/commodity],0),MATCH(V$845,wpi_data_prepped[[#Headers],[2022-Jan]:[2023-Oct]],0))</f>
        <v>635.07000000000005</v>
      </c>
      <c r="W852">
        <f>INDEX(wpi_data_prepped[[2022-Jan]:[2023-Oct]],MATCH($U852,wpi_data_prepped[category/commodity],0),MATCH(W$845,wpi_data_prepped[[#Headers],[2022-Jan]:[2023-Oct]],0))</f>
        <v>651.53</v>
      </c>
      <c r="X852">
        <f>INDEX(wpi_data_prepped[[2022-Jan]:[2023-Oct]],MATCH($U852,wpi_data_prepped[category/commodity],0),MATCH(X$845,wpi_data_prepped[[#Headers],[2022-Jan]:[2023-Oct]],0))</f>
        <v>669.9</v>
      </c>
      <c r="Y852">
        <f>INDEX(wpi_data_prepped[[2022-Jan]:[2023-Oct]],MATCH($U852,wpi_data_prepped[category/commodity],0),MATCH(Y$845,wpi_data_prepped[[#Headers],[2022-Jan]:[2023-Oct]],0))</f>
        <v>679.47</v>
      </c>
      <c r="Z852">
        <f>INDEX(wpi_data_prepped[[2022-Jan]:[2023-Oct]],MATCH($U852,wpi_data_prepped[category/commodity],0),MATCH(Z$845,wpi_data_prepped[[#Headers],[2022-Jan]:[2023-Oct]],0))</f>
        <v>688.66</v>
      </c>
      <c r="AB852">
        <f>INDEX(wpi_data_prepped[[2022-Jan]:[2023-Oct]],MATCH($U852,wpi_data_prepped[category/commodity],0),MATCH(AB$845,wpi_data_prepped[[#Headers],[2022-Jan]:[2023-Oct]],0))</f>
        <v>673.35</v>
      </c>
      <c r="AC852">
        <f>INDEX(wpi_data_prepped[[2022-Jan]:[2023-Oct]],MATCH($U852,wpi_data_prepped[category/commodity],0),MATCH(AC$845,wpi_data_prepped[[#Headers],[2022-Jan]:[2023-Oct]],0))</f>
        <v>657.65</v>
      </c>
      <c r="AD852">
        <f>INDEX(wpi_data_prepped[[2022-Jan]:[2023-Oct]],MATCH($U852,wpi_data_prepped[category/commodity],0),MATCH(AD$845,wpi_data_prepped[[#Headers],[2022-Jan]:[2023-Oct]],0))</f>
        <v>670.28</v>
      </c>
      <c r="AE852">
        <f>INDEX(wpi_data_prepped[[2022-Jan]:[2023-Oct]],MATCH($U852,wpi_data_prepped[category/commodity],0),MATCH(AE$845,wpi_data_prepped[[#Headers],[2022-Jan]:[2023-Oct]],0))</f>
        <v>643.87</v>
      </c>
      <c r="AF852">
        <f>INDEX(wpi_data_prepped[[2022-Jan]:[2023-Oct]],MATCH($U852,wpi_data_prepped[category/commodity],0),MATCH(AF$845,wpi_data_prepped[[#Headers],[2022-Jan]:[2023-Oct]],0))</f>
        <v>635.45000000000005</v>
      </c>
      <c r="AG852">
        <f>INDEX(wpi_data_prepped[[2022-Jan]:[2023-Oct]],MATCH($U852,wpi_data_prepped[category/commodity],0),MATCH(AG$845,wpi_data_prepped[[#Headers],[2022-Jan]:[2023-Oct]],0))</f>
        <v>646.16999999999996</v>
      </c>
      <c r="AI852">
        <f>INDEX(wpi_data_prepped[[2022-Jan]:[2023-Oct]],MATCH($U852,wpi_data_prepped[category/commodity],0),MATCH(AI$845,wpi_data_prepped[[#Headers],[2022-Jan]:[2023-Oct]],0))</f>
        <v>655.36</v>
      </c>
      <c r="AJ852">
        <f>INDEX(wpi_data_prepped[[2022-Jan]:[2023-Oct]],MATCH($U852,wpi_data_prepped[category/commodity],0),MATCH(AJ$845,wpi_data_prepped[[#Headers],[2022-Jan]:[2023-Oct]],0))</f>
        <v>664.93</v>
      </c>
      <c r="AK852">
        <f>INDEX(wpi_data_prepped[[2022-Jan]:[2023-Oct]],MATCH($U852,wpi_data_prepped[category/commodity],0),MATCH(AK$845,wpi_data_prepped[[#Headers],[2022-Jan]:[2023-Oct]],0))</f>
        <v>651.53</v>
      </c>
      <c r="AL852">
        <f>INDEX(wpi_data_prepped[[2022-Jan]:[2023-Oct]],MATCH($U852,wpi_data_prepped[category/commodity],0),MATCH(AL$845,wpi_data_prepped[[#Headers],[2022-Jan]:[2023-Oct]],0))</f>
        <v>639.66</v>
      </c>
      <c r="AM852">
        <f>INDEX(wpi_data_prepped[[2022-Jan]:[2023-Oct]],MATCH($U852,wpi_data_prepped[category/commodity],0),MATCH(AM$845,wpi_data_prepped[[#Headers],[2022-Jan]:[2023-Oct]],0))</f>
        <v>633.91999999999996</v>
      </c>
      <c r="AN852">
        <f>INDEX(wpi_data_prepped[[2022-Jan]:[2023-Oct]],MATCH($U852,wpi_data_prepped[category/commodity],0),MATCH(AN$845,wpi_data_prepped[[#Headers],[2022-Jan]:[2023-Oct]],0))</f>
        <v>623.20000000000005</v>
      </c>
      <c r="AO852">
        <f>INDEX(wpi_data_prepped[[2022-Jan]:[2023-Oct]],MATCH($U852,wpi_data_prepped[category/commodity],0),MATCH(AO$845,wpi_data_prepped[[#Headers],[2022-Jan]:[2023-Oct]],0))</f>
        <v>608.27</v>
      </c>
      <c r="AP852">
        <f>INDEX(wpi_data_prepped[[2022-Jan]:[2023-Oct]],MATCH($U852,wpi_data_prepped[category/commodity],0),MATCH(AP$845,wpi_data_prepped[[#Headers],[2022-Jan]:[2023-Oct]],0))</f>
        <v>619.76</v>
      </c>
      <c r="AQ852">
        <f>INDEX(wpi_data_prepped[[2022-Jan]:[2023-Oct]],MATCH($U852,wpi_data_prepped[category/commodity],0),MATCH(AQ$845,wpi_data_prepped[[#Headers],[2022-Jan]:[2023-Oct]],0))</f>
        <v>624.73</v>
      </c>
      <c r="AR852">
        <f>INDEX(wpi_data_prepped[[2022-Jan]:[2023-Oct]],MATCH($U852,wpi_data_prepped[category/commodity],0),MATCH(AR$845,wpi_data_prepped[[#Headers],[2022-Jan]:[2023-Oct]],0))</f>
        <v>630.09</v>
      </c>
      <c r="AS852">
        <f>INDEX(wpi_data_prepped[[2022-Jan]:[2023-Oct]],MATCH($U852,wpi_data_prepped[category/commodity],0),MATCH(AS$845,wpi_data_prepped[[#Headers],[2022-Jan]:[2023-Oct]],0))</f>
        <v>628.17999999999995</v>
      </c>
    </row>
    <row r="853" spans="1:45" x14ac:dyDescent="0.35">
      <c r="A853" s="7" t="s">
        <v>882</v>
      </c>
      <c r="B853" s="3">
        <v>644.79999999999995</v>
      </c>
      <c r="N853" t="s">
        <v>882</v>
      </c>
      <c r="O853">
        <v>643.62727272727261</v>
      </c>
      <c r="U853" t="s">
        <v>882</v>
      </c>
      <c r="V853">
        <f>INDEX(wpi_data_prepped[[2022-Jan]:[2023-Oct]],MATCH($U853,wpi_data_prepped[category/commodity],0),MATCH(V$845,wpi_data_prepped[[#Headers],[2022-Jan]:[2023-Oct]],0))</f>
        <v>632.67999999999995</v>
      </c>
      <c r="W853">
        <f>INDEX(wpi_data_prepped[[2022-Jan]:[2023-Oct]],MATCH($U853,wpi_data_prepped[category/commodity],0),MATCH(W$845,wpi_data_prepped[[#Headers],[2022-Jan]:[2023-Oct]],0))</f>
        <v>634.19000000000005</v>
      </c>
      <c r="X853">
        <f>INDEX(wpi_data_prepped[[2022-Jan]:[2023-Oct]],MATCH($U853,wpi_data_prepped[category/commodity],0),MATCH(X$845,wpi_data_prepped[[#Headers],[2022-Jan]:[2023-Oct]],0))</f>
        <v>635.20000000000005</v>
      </c>
      <c r="Y853">
        <f>INDEX(wpi_data_prepped[[2022-Jan]:[2023-Oct]],MATCH($U853,wpi_data_prepped[category/commodity],0),MATCH(Y$845,wpi_data_prepped[[#Headers],[2022-Jan]:[2023-Oct]],0))</f>
        <v>636.72</v>
      </c>
      <c r="Z853">
        <f>INDEX(wpi_data_prepped[[2022-Jan]:[2023-Oct]],MATCH($U853,wpi_data_prepped[category/commodity],0),MATCH(Z$845,wpi_data_prepped[[#Headers],[2022-Jan]:[2023-Oct]],0))</f>
        <v>643.79</v>
      </c>
      <c r="AB853">
        <f>INDEX(wpi_data_prepped[[2022-Jan]:[2023-Oct]],MATCH($U853,wpi_data_prepped[category/commodity],0),MATCH(AB$845,wpi_data_prepped[[#Headers],[2022-Jan]:[2023-Oct]],0))</f>
        <v>645.29999999999995</v>
      </c>
      <c r="AC853">
        <f>INDEX(wpi_data_prepped[[2022-Jan]:[2023-Oct]],MATCH($U853,wpi_data_prepped[category/commodity],0),MATCH(AC$845,wpi_data_prepped[[#Headers],[2022-Jan]:[2023-Oct]],0))</f>
        <v>646.82000000000005</v>
      </c>
      <c r="AD853">
        <f>INDEX(wpi_data_prepped[[2022-Jan]:[2023-Oct]],MATCH($U853,wpi_data_prepped[category/commodity],0),MATCH(AD$845,wpi_data_prepped[[#Headers],[2022-Jan]:[2023-Oct]],0))</f>
        <v>641.26</v>
      </c>
      <c r="AE853">
        <f>INDEX(wpi_data_prepped[[2022-Jan]:[2023-Oct]],MATCH($U853,wpi_data_prepped[category/commodity],0),MATCH(AE$845,wpi_data_prepped[[#Headers],[2022-Jan]:[2023-Oct]],0))</f>
        <v>647.83000000000004</v>
      </c>
      <c r="AF853">
        <f>INDEX(wpi_data_prepped[[2022-Jan]:[2023-Oct]],MATCH($U853,wpi_data_prepped[category/commodity],0),MATCH(AF$845,wpi_data_prepped[[#Headers],[2022-Jan]:[2023-Oct]],0))</f>
        <v>646.82000000000005</v>
      </c>
      <c r="AG853">
        <f>INDEX(wpi_data_prepped[[2022-Jan]:[2023-Oct]],MATCH($U853,wpi_data_prepped[category/commodity],0),MATCH(AG$845,wpi_data_prepped[[#Headers],[2022-Jan]:[2023-Oct]],0))</f>
        <v>644.79999999999995</v>
      </c>
      <c r="AI853">
        <f>INDEX(wpi_data_prepped[[2022-Jan]:[2023-Oct]],MATCH($U853,wpi_data_prepped[category/commodity],0),MATCH(AI$845,wpi_data_prepped[[#Headers],[2022-Jan]:[2023-Oct]],0))</f>
        <v>646.30999999999995</v>
      </c>
      <c r="AJ853">
        <f>INDEX(wpi_data_prepped[[2022-Jan]:[2023-Oct]],MATCH($U853,wpi_data_prepped[category/commodity],0),MATCH(AJ$845,wpi_data_prepped[[#Headers],[2022-Jan]:[2023-Oct]],0))</f>
        <v>641.77</v>
      </c>
      <c r="AK853">
        <f>INDEX(wpi_data_prepped[[2022-Jan]:[2023-Oct]],MATCH($U853,wpi_data_prepped[category/commodity],0),MATCH(AK$845,wpi_data_prepped[[#Headers],[2022-Jan]:[2023-Oct]],0))</f>
        <v>641.77</v>
      </c>
      <c r="AL853">
        <f>INDEX(wpi_data_prepped[[2022-Jan]:[2023-Oct]],MATCH($U853,wpi_data_prepped[category/commodity],0),MATCH(AL$845,wpi_data_prepped[[#Headers],[2022-Jan]:[2023-Oct]],0))</f>
        <v>648.33000000000004</v>
      </c>
      <c r="AM853">
        <f>INDEX(wpi_data_prepped[[2022-Jan]:[2023-Oct]],MATCH($U853,wpi_data_prepped[category/commodity],0),MATCH(AM$845,wpi_data_prepped[[#Headers],[2022-Jan]:[2023-Oct]],0))</f>
        <v>646.30999999999995</v>
      </c>
      <c r="AN853">
        <f>INDEX(wpi_data_prepped[[2022-Jan]:[2023-Oct]],MATCH($U853,wpi_data_prepped[category/commodity],0),MATCH(AN$845,wpi_data_prepped[[#Headers],[2022-Jan]:[2023-Oct]],0))</f>
        <v>646.82000000000005</v>
      </c>
      <c r="AO853">
        <f>INDEX(wpi_data_prepped[[2022-Jan]:[2023-Oct]],MATCH($U853,wpi_data_prepped[category/commodity],0),MATCH(AO$845,wpi_data_prepped[[#Headers],[2022-Jan]:[2023-Oct]],0))</f>
        <v>645.29999999999995</v>
      </c>
      <c r="AP853">
        <f>INDEX(wpi_data_prepped[[2022-Jan]:[2023-Oct]],MATCH($U853,wpi_data_prepped[category/commodity],0),MATCH(AP$845,wpi_data_prepped[[#Headers],[2022-Jan]:[2023-Oct]],0))</f>
        <v>648.84</v>
      </c>
      <c r="AQ853">
        <f>INDEX(wpi_data_prepped[[2022-Jan]:[2023-Oct]],MATCH($U853,wpi_data_prepped[category/commodity],0),MATCH(AQ$845,wpi_data_prepped[[#Headers],[2022-Jan]:[2023-Oct]],0))</f>
        <v>647.83000000000004</v>
      </c>
      <c r="AR853">
        <f>INDEX(wpi_data_prepped[[2022-Jan]:[2023-Oct]],MATCH($U853,wpi_data_prepped[category/commodity],0),MATCH(AR$845,wpi_data_prepped[[#Headers],[2022-Jan]:[2023-Oct]],0))</f>
        <v>646.30999999999995</v>
      </c>
      <c r="AS853">
        <f>INDEX(wpi_data_prepped[[2022-Jan]:[2023-Oct]],MATCH($U853,wpi_data_prepped[category/commodity],0),MATCH(AS$845,wpi_data_prepped[[#Headers],[2022-Jan]:[2023-Oct]],0))</f>
        <v>644.79999999999995</v>
      </c>
    </row>
    <row r="854" spans="1:45" x14ac:dyDescent="0.35">
      <c r="A854" s="8" t="s">
        <v>602</v>
      </c>
      <c r="B854" s="4">
        <v>628.17999999999995</v>
      </c>
      <c r="N854" t="s">
        <v>442</v>
      </c>
      <c r="O854">
        <v>619.25681818181829</v>
      </c>
      <c r="U854" t="s">
        <v>442</v>
      </c>
      <c r="V854">
        <f>INDEX(wpi_data_prepped[[2022-Jan]:[2023-Oct]],MATCH($U854,wpi_data_prepped[category/commodity],0),MATCH(V$845,wpi_data_prepped[[#Headers],[2022-Jan]:[2023-Oct]],0))</f>
        <v>610.86</v>
      </c>
      <c r="W854">
        <f>INDEX(wpi_data_prepped[[2022-Jan]:[2023-Oct]],MATCH($U854,wpi_data_prepped[category/commodity],0),MATCH(W$845,wpi_data_prepped[[#Headers],[2022-Jan]:[2023-Oct]],0))</f>
        <v>581.5</v>
      </c>
      <c r="X854">
        <f>INDEX(wpi_data_prepped[[2022-Jan]:[2023-Oct]],MATCH($U854,wpi_data_prepped[category/commodity],0),MATCH(X$845,wpi_data_prepped[[#Headers],[2022-Jan]:[2023-Oct]],0))</f>
        <v>541.85</v>
      </c>
      <c r="Y854">
        <f>INDEX(wpi_data_prepped[[2022-Jan]:[2023-Oct]],MATCH($U854,wpi_data_prepped[category/commodity],0),MATCH(Y$845,wpi_data_prepped[[#Headers],[2022-Jan]:[2023-Oct]],0))</f>
        <v>599.36</v>
      </c>
      <c r="Z854">
        <f>INDEX(wpi_data_prepped[[2022-Jan]:[2023-Oct]],MATCH($U854,wpi_data_prepped[category/commodity],0),MATCH(Z$845,wpi_data_prepped[[#Headers],[2022-Jan]:[2023-Oct]],0))</f>
        <v>630.84</v>
      </c>
      <c r="AB854">
        <f>INDEX(wpi_data_prepped[[2022-Jan]:[2023-Oct]],MATCH($U854,wpi_data_prepped[category/commodity],0),MATCH(AB$845,wpi_data_prepped[[#Headers],[2022-Jan]:[2023-Oct]],0))</f>
        <v>683.82</v>
      </c>
      <c r="AC854">
        <f>INDEX(wpi_data_prepped[[2022-Jan]:[2023-Oct]],MATCH($U854,wpi_data_prepped[category/commodity],0),MATCH(AC$845,wpi_data_prepped[[#Headers],[2022-Jan]:[2023-Oct]],0))</f>
        <v>632.66</v>
      </c>
      <c r="AD854">
        <f>INDEX(wpi_data_prepped[[2022-Jan]:[2023-Oct]],MATCH($U854,wpi_data_prepped[category/commodity],0),MATCH(AD$845,wpi_data_prepped[[#Headers],[2022-Jan]:[2023-Oct]],0))</f>
        <v>655.05999999999995</v>
      </c>
      <c r="AE854">
        <f>INDEX(wpi_data_prepped[[2022-Jan]:[2023-Oct]],MATCH($U854,wpi_data_prepped[category/commodity],0),MATCH(AE$845,wpi_data_prepped[[#Headers],[2022-Jan]:[2023-Oct]],0))</f>
        <v>652.64</v>
      </c>
      <c r="AF854">
        <f>INDEX(wpi_data_prepped[[2022-Jan]:[2023-Oct]],MATCH($U854,wpi_data_prepped[category/commodity],0),MATCH(AF$845,wpi_data_prepped[[#Headers],[2022-Jan]:[2023-Oct]],0))</f>
        <v>698.65</v>
      </c>
      <c r="AG854">
        <f>INDEX(wpi_data_prepped[[2022-Jan]:[2023-Oct]],MATCH($U854,wpi_data_prepped[category/commodity],0),MATCH(AG$845,wpi_data_prepped[[#Headers],[2022-Jan]:[2023-Oct]],0))</f>
        <v>621.76</v>
      </c>
      <c r="AI854">
        <f>INDEX(wpi_data_prepped[[2022-Jan]:[2023-Oct]],MATCH($U854,wpi_data_prepped[category/commodity],0),MATCH(AI$845,wpi_data_prepped[[#Headers],[2022-Jan]:[2023-Oct]],0))</f>
        <v>523.99</v>
      </c>
      <c r="AJ854">
        <f>INDEX(wpi_data_prepped[[2022-Jan]:[2023-Oct]],MATCH($U854,wpi_data_prepped[category/commodity],0),MATCH(AJ$845,wpi_data_prepped[[#Headers],[2022-Jan]:[2023-Oct]],0))</f>
        <v>518.23</v>
      </c>
      <c r="AK854">
        <f>INDEX(wpi_data_prepped[[2022-Jan]:[2023-Oct]],MATCH($U854,wpi_data_prepped[category/commodity],0),MATCH(AK$845,wpi_data_prepped[[#Headers],[2022-Jan]:[2023-Oct]],0))</f>
        <v>523.67999999999995</v>
      </c>
      <c r="AL854">
        <f>INDEX(wpi_data_prepped[[2022-Jan]:[2023-Oct]],MATCH($U854,wpi_data_prepped[category/commodity],0),MATCH(AL$845,wpi_data_prepped[[#Headers],[2022-Jan]:[2023-Oct]],0))</f>
        <v>546.99</v>
      </c>
      <c r="AM854">
        <f>INDEX(wpi_data_prepped[[2022-Jan]:[2023-Oct]],MATCH($U854,wpi_data_prepped[category/commodity],0),MATCH(AM$845,wpi_data_prepped[[#Headers],[2022-Jan]:[2023-Oct]],0))</f>
        <v>581.79999999999995</v>
      </c>
      <c r="AN854">
        <f>INDEX(wpi_data_prepped[[2022-Jan]:[2023-Oct]],MATCH($U854,wpi_data_prepped[category/commodity],0),MATCH(AN$845,wpi_data_prepped[[#Headers],[2022-Jan]:[2023-Oct]],0))</f>
        <v>557.59</v>
      </c>
      <c r="AO854">
        <f>INDEX(wpi_data_prepped[[2022-Jan]:[2023-Oct]],MATCH($U854,wpi_data_prepped[category/commodity],0),MATCH(AO$845,wpi_data_prepped[[#Headers],[2022-Jan]:[2023-Oct]],0))</f>
        <v>586.95000000000005</v>
      </c>
      <c r="AP854">
        <f>INDEX(wpi_data_prepped[[2022-Jan]:[2023-Oct]],MATCH($U854,wpi_data_prepped[category/commodity],0),MATCH(AP$845,wpi_data_prepped[[#Headers],[2022-Jan]:[2023-Oct]],0))</f>
        <v>856.36</v>
      </c>
      <c r="AQ854">
        <f>INDEX(wpi_data_prepped[[2022-Jan]:[2023-Oct]],MATCH($U854,wpi_data_prepped[category/commodity],0),MATCH(AQ$845,wpi_data_prepped[[#Headers],[2022-Jan]:[2023-Oct]],0))</f>
        <v>797.94</v>
      </c>
      <c r="AR854">
        <f>INDEX(wpi_data_prepped[[2022-Jan]:[2023-Oct]],MATCH($U854,wpi_data_prepped[category/commodity],0),MATCH(AR$845,wpi_data_prepped[[#Headers],[2022-Jan]:[2023-Oct]],0))</f>
        <v>600.87</v>
      </c>
      <c r="AS854">
        <f>INDEX(wpi_data_prepped[[2022-Jan]:[2023-Oct]],MATCH($U854,wpi_data_prepped[category/commodity],0),MATCH(AS$845,wpi_data_prepped[[#Headers],[2022-Jan]:[2023-Oct]],0))</f>
        <v>620.25</v>
      </c>
    </row>
    <row r="855" spans="1:45" x14ac:dyDescent="0.35">
      <c r="A855" s="8" t="s">
        <v>442</v>
      </c>
      <c r="B855" s="4">
        <v>620.25</v>
      </c>
      <c r="N855" t="s">
        <v>289</v>
      </c>
      <c r="O855">
        <v>595.35909090909092</v>
      </c>
      <c r="U855" t="s">
        <v>289</v>
      </c>
      <c r="V855">
        <f>INDEX(wpi_data_prepped[[2022-Jan]:[2023-Oct]],MATCH($U855,wpi_data_prepped[category/commodity],0),MATCH(V$845,wpi_data_prepped[[#Headers],[2022-Jan]:[2023-Oct]],0))</f>
        <v>546.78</v>
      </c>
      <c r="W855">
        <f>INDEX(wpi_data_prepped[[2022-Jan]:[2023-Oct]],MATCH($U855,wpi_data_prepped[category/commodity],0),MATCH(W$845,wpi_data_prepped[[#Headers],[2022-Jan]:[2023-Oct]],0))</f>
        <v>548.1</v>
      </c>
      <c r="X855">
        <f>INDEX(wpi_data_prepped[[2022-Jan]:[2023-Oct]],MATCH($U855,wpi_data_prepped[category/commodity],0),MATCH(X$845,wpi_data_prepped[[#Headers],[2022-Jan]:[2023-Oct]],0))</f>
        <v>558.66999999999996</v>
      </c>
      <c r="Y855">
        <f>INDEX(wpi_data_prepped[[2022-Jan]:[2023-Oct]],MATCH($U855,wpi_data_prepped[category/commodity],0),MATCH(Y$845,wpi_data_prepped[[#Headers],[2022-Jan]:[2023-Oct]],0))</f>
        <v>565.61</v>
      </c>
      <c r="Z855">
        <f>INDEX(wpi_data_prepped[[2022-Jan]:[2023-Oct]],MATCH($U855,wpi_data_prepped[category/commodity],0),MATCH(Z$845,wpi_data_prepped[[#Headers],[2022-Jan]:[2023-Oct]],0))</f>
        <v>567.26</v>
      </c>
      <c r="AB855">
        <f>INDEX(wpi_data_prepped[[2022-Jan]:[2023-Oct]],MATCH($U855,wpi_data_prepped[category/commodity],0),MATCH(AB$845,wpi_data_prepped[[#Headers],[2022-Jan]:[2023-Oct]],0))</f>
        <v>563.96</v>
      </c>
      <c r="AC855">
        <f>INDEX(wpi_data_prepped[[2022-Jan]:[2023-Oct]],MATCH($U855,wpi_data_prepped[category/commodity],0),MATCH(AC$845,wpi_data_prepped[[#Headers],[2022-Jan]:[2023-Oct]],0))</f>
        <v>570.24</v>
      </c>
      <c r="AD855">
        <f>INDEX(wpi_data_prepped[[2022-Jan]:[2023-Oct]],MATCH($U855,wpi_data_prepped[category/commodity],0),MATCH(AD$845,wpi_data_prepped[[#Headers],[2022-Jan]:[2023-Oct]],0))</f>
        <v>584.77</v>
      </c>
      <c r="AE855">
        <f>INDEX(wpi_data_prepped[[2022-Jan]:[2023-Oct]],MATCH($U855,wpi_data_prepped[category/commodity],0),MATCH(AE$845,wpi_data_prepped[[#Headers],[2022-Jan]:[2023-Oct]],0))</f>
        <v>589.4</v>
      </c>
      <c r="AF855">
        <f>INDEX(wpi_data_prepped[[2022-Jan]:[2023-Oct]],MATCH($U855,wpi_data_prepped[category/commodity],0),MATCH(AF$845,wpi_data_prepped[[#Headers],[2022-Jan]:[2023-Oct]],0))</f>
        <v>593.36</v>
      </c>
      <c r="AG855">
        <f>INDEX(wpi_data_prepped[[2022-Jan]:[2023-Oct]],MATCH($U855,wpi_data_prepped[category/commodity],0),MATCH(AG$845,wpi_data_prepped[[#Headers],[2022-Jan]:[2023-Oct]],0))</f>
        <v>600.96</v>
      </c>
      <c r="AI855">
        <f>INDEX(wpi_data_prepped[[2022-Jan]:[2023-Oct]],MATCH($U855,wpi_data_prepped[category/commodity],0),MATCH(AI$845,wpi_data_prepped[[#Headers],[2022-Jan]:[2023-Oct]],0))</f>
        <v>609.22</v>
      </c>
      <c r="AJ855">
        <f>INDEX(wpi_data_prepped[[2022-Jan]:[2023-Oct]],MATCH($U855,wpi_data_prepped[category/commodity],0),MATCH(AJ$845,wpi_data_prepped[[#Headers],[2022-Jan]:[2023-Oct]],0))</f>
        <v>617.80999999999995</v>
      </c>
      <c r="AK855">
        <f>INDEX(wpi_data_prepped[[2022-Jan]:[2023-Oct]],MATCH($U855,wpi_data_prepped[category/commodity],0),MATCH(AK$845,wpi_data_prepped[[#Headers],[2022-Jan]:[2023-Oct]],0))</f>
        <v>612.52</v>
      </c>
      <c r="AL855">
        <f>INDEX(wpi_data_prepped[[2022-Jan]:[2023-Oct]],MATCH($U855,wpi_data_prepped[category/commodity],0),MATCH(AL$845,wpi_data_prepped[[#Headers],[2022-Jan]:[2023-Oct]],0))</f>
        <v>604.59</v>
      </c>
      <c r="AM855">
        <f>INDEX(wpi_data_prepped[[2022-Jan]:[2023-Oct]],MATCH($U855,wpi_data_prepped[category/commodity],0),MATCH(AM$845,wpi_data_prepped[[#Headers],[2022-Jan]:[2023-Oct]],0))</f>
        <v>606.91</v>
      </c>
      <c r="AN855">
        <f>INDEX(wpi_data_prepped[[2022-Jan]:[2023-Oct]],MATCH($U855,wpi_data_prepped[category/commodity],0),MATCH(AN$845,wpi_data_prepped[[#Headers],[2022-Jan]:[2023-Oct]],0))</f>
        <v>605.26</v>
      </c>
      <c r="AO855">
        <f>INDEX(wpi_data_prepped[[2022-Jan]:[2023-Oct]],MATCH($U855,wpi_data_prepped[category/commodity],0),MATCH(AO$845,wpi_data_prepped[[#Headers],[2022-Jan]:[2023-Oct]],0))</f>
        <v>611.86</v>
      </c>
      <c r="AP855">
        <f>INDEX(wpi_data_prepped[[2022-Jan]:[2023-Oct]],MATCH($U855,wpi_data_prepped[category/commodity],0),MATCH(AP$845,wpi_data_prepped[[#Headers],[2022-Jan]:[2023-Oct]],0))</f>
        <v>618.79999999999995</v>
      </c>
      <c r="AQ855">
        <f>INDEX(wpi_data_prepped[[2022-Jan]:[2023-Oct]],MATCH($U855,wpi_data_prepped[category/commodity],0),MATCH(AQ$845,wpi_data_prepped[[#Headers],[2022-Jan]:[2023-Oct]],0))</f>
        <v>628.04999999999995</v>
      </c>
      <c r="AR855">
        <f>INDEX(wpi_data_prepped[[2022-Jan]:[2023-Oct]],MATCH($U855,wpi_data_prepped[category/commodity],0),MATCH(AR$845,wpi_data_prepped[[#Headers],[2022-Jan]:[2023-Oct]],0))</f>
        <v>641.6</v>
      </c>
      <c r="AS855">
        <f>INDEX(wpi_data_prepped[[2022-Jan]:[2023-Oct]],MATCH($U855,wpi_data_prepped[category/commodity],0),MATCH(AS$845,wpi_data_prepped[[#Headers],[2022-Jan]:[2023-Oct]],0))</f>
        <v>652.16999999999996</v>
      </c>
    </row>
    <row r="856" spans="1:45" x14ac:dyDescent="0.35">
      <c r="A856" s="7" t="s">
        <v>879</v>
      </c>
      <c r="B856" s="3">
        <v>604.01</v>
      </c>
      <c r="N856" t="s">
        <v>879</v>
      </c>
      <c r="O856">
        <v>592.38454545454533</v>
      </c>
      <c r="U856" t="s">
        <v>879</v>
      </c>
      <c r="V856">
        <f>INDEX(wpi_data_prepped[[2022-Jan]:[2023-Oct]],MATCH($U856,wpi_data_prepped[category/commodity],0),MATCH(V$845,wpi_data_prepped[[#Headers],[2022-Jan]:[2023-Oct]],0))</f>
        <v>569.80999999999995</v>
      </c>
      <c r="W856">
        <f>INDEX(wpi_data_prepped[[2022-Jan]:[2023-Oct]],MATCH($U856,wpi_data_prepped[category/commodity],0),MATCH(W$845,wpi_data_prepped[[#Headers],[2022-Jan]:[2023-Oct]],0))</f>
        <v>571.67999999999995</v>
      </c>
      <c r="X856">
        <f>INDEX(wpi_data_prepped[[2022-Jan]:[2023-Oct]],MATCH($U856,wpi_data_prepped[category/commodity],0),MATCH(X$845,wpi_data_prepped[[#Headers],[2022-Jan]:[2023-Oct]],0))</f>
        <v>574.96</v>
      </c>
      <c r="Y856">
        <f>INDEX(wpi_data_prepped[[2022-Jan]:[2023-Oct]],MATCH($U856,wpi_data_prepped[category/commodity],0),MATCH(Y$845,wpi_data_prepped[[#Headers],[2022-Jan]:[2023-Oct]],0))</f>
        <v>582.46</v>
      </c>
      <c r="Z856">
        <f>INDEX(wpi_data_prepped[[2022-Jan]:[2023-Oct]],MATCH($U856,wpi_data_prepped[category/commodity],0),MATCH(Z$845,wpi_data_prepped[[#Headers],[2022-Jan]:[2023-Oct]],0))</f>
        <v>585.27</v>
      </c>
      <c r="AB856">
        <f>INDEX(wpi_data_prepped[[2022-Jan]:[2023-Oct]],MATCH($U856,wpi_data_prepped[category/commodity],0),MATCH(AB$845,wpi_data_prepped[[#Headers],[2022-Jan]:[2023-Oct]],0))</f>
        <v>586.21</v>
      </c>
      <c r="AC856">
        <f>INDEX(wpi_data_prepped[[2022-Jan]:[2023-Oct]],MATCH($U856,wpi_data_prepped[category/commodity],0),MATCH(AC$845,wpi_data_prepped[[#Headers],[2022-Jan]:[2023-Oct]],0))</f>
        <v>589.49</v>
      </c>
      <c r="AD856">
        <f>INDEX(wpi_data_prepped[[2022-Jan]:[2023-Oct]],MATCH($U856,wpi_data_prepped[category/commodity],0),MATCH(AD$845,wpi_data_prepped[[#Headers],[2022-Jan]:[2023-Oct]],0))</f>
        <v>590.89</v>
      </c>
      <c r="AE856">
        <f>INDEX(wpi_data_prepped[[2022-Jan]:[2023-Oct]],MATCH($U856,wpi_data_prepped[category/commodity],0),MATCH(AE$845,wpi_data_prepped[[#Headers],[2022-Jan]:[2023-Oct]],0))</f>
        <v>592.29999999999995</v>
      </c>
      <c r="AF856">
        <f>INDEX(wpi_data_prepped[[2022-Jan]:[2023-Oct]],MATCH($U856,wpi_data_prepped[category/commodity],0),MATCH(AF$845,wpi_data_prepped[[#Headers],[2022-Jan]:[2023-Oct]],0))</f>
        <v>592.77</v>
      </c>
      <c r="AG856">
        <f>INDEX(wpi_data_prepped[[2022-Jan]:[2023-Oct]],MATCH($U856,wpi_data_prepped[category/commodity],0),MATCH(AG$845,wpi_data_prepped[[#Headers],[2022-Jan]:[2023-Oct]],0))</f>
        <v>593.70000000000005</v>
      </c>
      <c r="AI856">
        <f>INDEX(wpi_data_prepped[[2022-Jan]:[2023-Oct]],MATCH($U856,wpi_data_prepped[category/commodity],0),MATCH(AI$845,wpi_data_prepped[[#Headers],[2022-Jan]:[2023-Oct]],0))</f>
        <v>591.83000000000004</v>
      </c>
      <c r="AJ856">
        <f>INDEX(wpi_data_prepped[[2022-Jan]:[2023-Oct]],MATCH($U856,wpi_data_prepped[category/commodity],0),MATCH(AJ$845,wpi_data_prepped[[#Headers],[2022-Jan]:[2023-Oct]],0))</f>
        <v>595.11</v>
      </c>
      <c r="AK856">
        <f>INDEX(wpi_data_prepped[[2022-Jan]:[2023-Oct]],MATCH($U856,wpi_data_prepped[category/commodity],0),MATCH(AK$845,wpi_data_prepped[[#Headers],[2022-Jan]:[2023-Oct]],0))</f>
        <v>598.39</v>
      </c>
      <c r="AL856">
        <f>INDEX(wpi_data_prepped[[2022-Jan]:[2023-Oct]],MATCH($U856,wpi_data_prepped[category/commodity],0),MATCH(AL$845,wpi_data_prepped[[#Headers],[2022-Jan]:[2023-Oct]],0))</f>
        <v>599.79999999999995</v>
      </c>
      <c r="AM856">
        <f>INDEX(wpi_data_prepped[[2022-Jan]:[2023-Oct]],MATCH($U856,wpi_data_prepped[category/commodity],0),MATCH(AM$845,wpi_data_prepped[[#Headers],[2022-Jan]:[2023-Oct]],0))</f>
        <v>601.66999999999996</v>
      </c>
      <c r="AN856">
        <f>INDEX(wpi_data_prepped[[2022-Jan]:[2023-Oct]],MATCH($U856,wpi_data_prepped[category/commodity],0),MATCH(AN$845,wpi_data_prepped[[#Headers],[2022-Jan]:[2023-Oct]],0))</f>
        <v>602.14</v>
      </c>
      <c r="AO856">
        <f>INDEX(wpi_data_prepped[[2022-Jan]:[2023-Oct]],MATCH($U856,wpi_data_prepped[category/commodity],0),MATCH(AO$845,wpi_data_prepped[[#Headers],[2022-Jan]:[2023-Oct]],0))</f>
        <v>599.79999999999995</v>
      </c>
      <c r="AP856">
        <f>INDEX(wpi_data_prepped[[2022-Jan]:[2023-Oct]],MATCH($U856,wpi_data_prepped[category/commodity],0),MATCH(AP$845,wpi_data_prepped[[#Headers],[2022-Jan]:[2023-Oct]],0))</f>
        <v>602.61</v>
      </c>
      <c r="AQ856">
        <f>INDEX(wpi_data_prepped[[2022-Jan]:[2023-Oct]],MATCH($U856,wpi_data_prepped[category/commodity],0),MATCH(AQ$845,wpi_data_prepped[[#Headers],[2022-Jan]:[2023-Oct]],0))</f>
        <v>602.14</v>
      </c>
      <c r="AR856">
        <f>INDEX(wpi_data_prepped[[2022-Jan]:[2023-Oct]],MATCH($U856,wpi_data_prepped[category/commodity],0),MATCH(AR$845,wpi_data_prepped[[#Headers],[2022-Jan]:[2023-Oct]],0))</f>
        <v>605.41999999999996</v>
      </c>
      <c r="AS856">
        <f>INDEX(wpi_data_prepped[[2022-Jan]:[2023-Oct]],MATCH($U856,wpi_data_prepped[category/commodity],0),MATCH(AS$845,wpi_data_prepped[[#Headers],[2022-Jan]:[2023-Oct]],0))</f>
        <v>604.01</v>
      </c>
    </row>
    <row r="857" spans="1:45" x14ac:dyDescent="0.35">
      <c r="A857" s="7" t="s">
        <v>585</v>
      </c>
      <c r="B857" s="3">
        <v>522.37</v>
      </c>
      <c r="N857" t="s">
        <v>614</v>
      </c>
      <c r="O857">
        <v>496.07090909090914</v>
      </c>
    </row>
    <row r="858" spans="1:45" x14ac:dyDescent="0.35">
      <c r="A858" s="8" t="s">
        <v>614</v>
      </c>
      <c r="B858" s="4">
        <v>484.38</v>
      </c>
      <c r="N858" t="s">
        <v>585</v>
      </c>
      <c r="O858">
        <v>485.01954545454555</v>
      </c>
      <c r="U858" t="s">
        <v>891</v>
      </c>
      <c r="V858" t="s">
        <v>758</v>
      </c>
      <c r="W858" t="s">
        <v>759</v>
      </c>
      <c r="X858" t="s">
        <v>760</v>
      </c>
      <c r="Y858" t="s">
        <v>761</v>
      </c>
      <c r="Z858" t="s">
        <v>762</v>
      </c>
      <c r="AB858" t="s">
        <v>763</v>
      </c>
      <c r="AC858" t="s">
        <v>764</v>
      </c>
      <c r="AD858" t="s">
        <v>765</v>
      </c>
      <c r="AE858" t="s">
        <v>766</v>
      </c>
      <c r="AF858" t="s">
        <v>767</v>
      </c>
      <c r="AG858" t="s">
        <v>768</v>
      </c>
      <c r="AI858" t="s">
        <v>769</v>
      </c>
      <c r="AJ858" t="s">
        <v>770</v>
      </c>
      <c r="AK858" t="s">
        <v>771</v>
      </c>
      <c r="AL858" t="s">
        <v>772</v>
      </c>
      <c r="AM858" t="s">
        <v>773</v>
      </c>
      <c r="AN858" t="s">
        <v>774</v>
      </c>
      <c r="AO858" t="s">
        <v>775</v>
      </c>
      <c r="AP858" t="s">
        <v>776</v>
      </c>
      <c r="AQ858" t="s">
        <v>777</v>
      </c>
      <c r="AR858" t="s">
        <v>778</v>
      </c>
      <c r="AS858" t="s">
        <v>779</v>
      </c>
    </row>
    <row r="859" spans="1:45" x14ac:dyDescent="0.35">
      <c r="A859" s="7" t="s">
        <v>318</v>
      </c>
      <c r="B859" s="3">
        <v>448.29</v>
      </c>
      <c r="N859" t="s">
        <v>318</v>
      </c>
      <c r="O859">
        <v>440.09545454545457</v>
      </c>
      <c r="U859" t="s">
        <v>812</v>
      </c>
      <c r="V859">
        <f>INDEX(wpi_data_prepped[[2022-Jan]:[2023-Oct]],MATCH($U859,wpi_data_prepped[category/commodity],0),MATCH(V$858,wpi_data_prepped[[#Headers],[2022-Jan]:[2023-Oct]],0))</f>
        <v>8514.43</v>
      </c>
      <c r="W859">
        <f>INDEX(wpi_data_prepped[[2022-Jan]:[2023-Oct]],MATCH($U859,wpi_data_prepped[category/commodity],0),MATCH(W$858,wpi_data_prepped[[#Headers],[2022-Jan]:[2023-Oct]],0))</f>
        <v>8619.92</v>
      </c>
      <c r="X859">
        <f>INDEX(wpi_data_prepped[[2022-Jan]:[2023-Oct]],MATCH($U859,wpi_data_prepped[category/commodity],0),MATCH(X$858,wpi_data_prepped[[#Headers],[2022-Jan]:[2023-Oct]],0))</f>
        <v>8830.92</v>
      </c>
      <c r="Y859">
        <f>INDEX(wpi_data_prepped[[2022-Jan]:[2023-Oct]],MATCH($U859,wpi_data_prepped[category/commodity],0),MATCH(Y$858,wpi_data_prepped[[#Headers],[2022-Jan]:[2023-Oct]],0))</f>
        <v>8979.86</v>
      </c>
      <c r="Z859">
        <f>INDEX(wpi_data_prepped[[2022-Jan]:[2023-Oct]],MATCH($U859,wpi_data_prepped[category/commodity],0),MATCH(Z$858,wpi_data_prepped[[#Headers],[2022-Jan]:[2023-Oct]],0))</f>
        <v>8998.48</v>
      </c>
      <c r="AB859">
        <f>INDEX(wpi_data_prepped[[2022-Jan]:[2023-Oct]],MATCH($U859,wpi_data_prepped[category/commodity],0),MATCH(AB$858,wpi_data_prepped[[#Headers],[2022-Jan]:[2023-Oct]],0))</f>
        <v>8930.2199999999993</v>
      </c>
      <c r="AC859">
        <f>INDEX(wpi_data_prepped[[2022-Jan]:[2023-Oct]],MATCH($U859,wpi_data_prepped[category/commodity],0),MATCH(AC$858,wpi_data_prepped[[#Headers],[2022-Jan]:[2023-Oct]],0))</f>
        <v>8886.7800000000007</v>
      </c>
      <c r="AD859">
        <f>INDEX(wpi_data_prepped[[2022-Jan]:[2023-Oct]],MATCH($U859,wpi_data_prepped[category/commodity],0),MATCH(AD$858,wpi_data_prepped[[#Headers],[2022-Jan]:[2023-Oct]],0))</f>
        <v>8886.7800000000007</v>
      </c>
      <c r="AE859">
        <f>INDEX(wpi_data_prepped[[2022-Jan]:[2023-Oct]],MATCH($U859,wpi_data_prepped[category/commodity],0),MATCH(AE$858,wpi_data_prepped[[#Headers],[2022-Jan]:[2023-Oct]],0))</f>
        <v>8824.7199999999993</v>
      </c>
      <c r="AF859">
        <f>INDEX(wpi_data_prepped[[2022-Jan]:[2023-Oct]],MATCH($U859,wpi_data_prepped[category/commodity],0),MATCH(AF$858,wpi_data_prepped[[#Headers],[2022-Jan]:[2023-Oct]],0))</f>
        <v>8806.1</v>
      </c>
      <c r="AG859">
        <f>INDEX(wpi_data_prepped[[2022-Jan]:[2023-Oct]],MATCH($U859,wpi_data_prepped[category/commodity],0),MATCH(AG$858,wpi_data_prepped[[#Headers],[2022-Jan]:[2023-Oct]],0))</f>
        <v>8768.8700000000008</v>
      </c>
      <c r="AI859">
        <f>INDEX(wpi_data_prepped[[2022-Jan]:[2023-Oct]],MATCH($U859,wpi_data_prepped[category/commodity],0),MATCH(AI$858,wpi_data_prepped[[#Headers],[2022-Jan]:[2023-Oct]],0))</f>
        <v>8756.4500000000007</v>
      </c>
      <c r="AJ859">
        <f>INDEX(wpi_data_prepped[[2022-Jan]:[2023-Oct]],MATCH($U859,wpi_data_prepped[category/commodity],0),MATCH(AJ$858,wpi_data_prepped[[#Headers],[2022-Jan]:[2023-Oct]],0))</f>
        <v>8775.07</v>
      </c>
      <c r="AK859">
        <f>INDEX(wpi_data_prepped[[2022-Jan]:[2023-Oct]],MATCH($U859,wpi_data_prepped[category/commodity],0),MATCH(AK$858,wpi_data_prepped[[#Headers],[2022-Jan]:[2023-Oct]],0))</f>
        <v>8787.48</v>
      </c>
      <c r="AL859">
        <f>INDEX(wpi_data_prepped[[2022-Jan]:[2023-Oct]],MATCH($U859,wpi_data_prepped[category/commodity],0),MATCH(AL$858,wpi_data_prepped[[#Headers],[2022-Jan]:[2023-Oct]],0))</f>
        <v>8768.8700000000008</v>
      </c>
      <c r="AM859">
        <f>INDEX(wpi_data_prepped[[2022-Jan]:[2023-Oct]],MATCH($U859,wpi_data_prepped[category/commodity],0),MATCH(AM$858,wpi_data_prepped[[#Headers],[2022-Jan]:[2023-Oct]],0))</f>
        <v>8775.07</v>
      </c>
      <c r="AN859">
        <f>INDEX(wpi_data_prepped[[2022-Jan]:[2023-Oct]],MATCH($U859,wpi_data_prepped[category/commodity],0),MATCH(AN$858,wpi_data_prepped[[#Headers],[2022-Jan]:[2023-Oct]],0))</f>
        <v>8725.42</v>
      </c>
      <c r="AO859">
        <f>INDEX(wpi_data_prepped[[2022-Jan]:[2023-Oct]],MATCH($U859,wpi_data_prepped[category/commodity],0),MATCH(AO$858,wpi_data_prepped[[#Headers],[2022-Jan]:[2023-Oct]],0))</f>
        <v>8681.98</v>
      </c>
      <c r="AP859">
        <f>INDEX(wpi_data_prepped[[2022-Jan]:[2023-Oct]],MATCH($U859,wpi_data_prepped[category/commodity],0),MATCH(AP$858,wpi_data_prepped[[#Headers],[2022-Jan]:[2023-Oct]],0))</f>
        <v>8657.16</v>
      </c>
      <c r="AQ859">
        <f>INDEX(wpi_data_prepped[[2022-Jan]:[2023-Oct]],MATCH($U859,wpi_data_prepped[category/commodity],0),MATCH(AQ$858,wpi_data_prepped[[#Headers],[2022-Jan]:[2023-Oct]],0))</f>
        <v>8681.98</v>
      </c>
      <c r="AR859">
        <f>INDEX(wpi_data_prepped[[2022-Jan]:[2023-Oct]],MATCH($U859,wpi_data_prepped[category/commodity],0),MATCH(AR$858,wpi_data_prepped[[#Headers],[2022-Jan]:[2023-Oct]],0))</f>
        <v>8713.01</v>
      </c>
      <c r="AS859">
        <f>INDEX(wpi_data_prepped[[2022-Jan]:[2023-Oct]],MATCH($U859,wpi_data_prepped[category/commodity],0),MATCH(AS$858,wpi_data_prepped[[#Headers],[2022-Jan]:[2023-Oct]],0))</f>
        <v>8713.01</v>
      </c>
    </row>
    <row r="860" spans="1:45" x14ac:dyDescent="0.35">
      <c r="A860" s="8" t="s">
        <v>616</v>
      </c>
      <c r="B860" s="4">
        <v>448.29</v>
      </c>
      <c r="N860" t="s">
        <v>616</v>
      </c>
      <c r="O860">
        <v>440.09545454545457</v>
      </c>
      <c r="U860" t="s">
        <v>584</v>
      </c>
      <c r="V860">
        <f>INDEX(wpi_data_prepped[[2022-Jan]:[2023-Oct]],MATCH($U860,wpi_data_prepped[category/commodity],0),MATCH(V$858,wpi_data_prepped[[#Headers],[2022-Jan]:[2023-Oct]],0))</f>
        <v>3537.29</v>
      </c>
      <c r="W860">
        <f>INDEX(wpi_data_prepped[[2022-Jan]:[2023-Oct]],MATCH($U860,wpi_data_prepped[category/commodity],0),MATCH(W$858,wpi_data_prepped[[#Headers],[2022-Jan]:[2023-Oct]],0))</f>
        <v>3537.29</v>
      </c>
      <c r="X860">
        <f>INDEX(wpi_data_prepped[[2022-Jan]:[2023-Oct]],MATCH($U860,wpi_data_prepped[category/commodity],0),MATCH(X$858,wpi_data_prepped[[#Headers],[2022-Jan]:[2023-Oct]],0))</f>
        <v>3609.1</v>
      </c>
      <c r="Y860">
        <f>INDEX(wpi_data_prepped[[2022-Jan]:[2023-Oct]],MATCH($U860,wpi_data_prepped[category/commodity],0),MATCH(Y$858,wpi_data_prepped[[#Headers],[2022-Jan]:[2023-Oct]],0))</f>
        <v>3685.12</v>
      </c>
      <c r="Z860">
        <f>INDEX(wpi_data_prepped[[2022-Jan]:[2023-Oct]],MATCH($U860,wpi_data_prepped[category/commodity],0),MATCH(Z$858,wpi_data_prepped[[#Headers],[2022-Jan]:[2023-Oct]],0))</f>
        <v>3769.59</v>
      </c>
      <c r="AB860">
        <f>INDEX(wpi_data_prepped[[2022-Jan]:[2023-Oct]],MATCH($U860,wpi_data_prepped[category/commodity],0),MATCH(AB$858,wpi_data_prepped[[#Headers],[2022-Jan]:[2023-Oct]],0))</f>
        <v>3832.95</v>
      </c>
      <c r="AC860">
        <f>INDEX(wpi_data_prepped[[2022-Jan]:[2023-Oct]],MATCH($U860,wpi_data_prepped[category/commodity],0),MATCH(AC$858,wpi_data_prepped[[#Headers],[2022-Jan]:[2023-Oct]],0))</f>
        <v>3740.03</v>
      </c>
      <c r="AD860">
        <f>INDEX(wpi_data_prepped[[2022-Jan]:[2023-Oct]],MATCH($U860,wpi_data_prepped[category/commodity],0),MATCH(AD$858,wpi_data_prepped[[#Headers],[2022-Jan]:[2023-Oct]],0))</f>
        <v>3765.37</v>
      </c>
      <c r="AE860">
        <f>INDEX(wpi_data_prepped[[2022-Jan]:[2023-Oct]],MATCH($U860,wpi_data_prepped[category/commodity],0),MATCH(AE$858,wpi_data_prepped[[#Headers],[2022-Jan]:[2023-Oct]],0))</f>
        <v>3714.69</v>
      </c>
      <c r="AF860">
        <f>INDEX(wpi_data_prepped[[2022-Jan]:[2023-Oct]],MATCH($U860,wpi_data_prepped[category/commodity],0),MATCH(AF$858,wpi_data_prepped[[#Headers],[2022-Jan]:[2023-Oct]],0))</f>
        <v>3826.61</v>
      </c>
      <c r="AG860">
        <f>INDEX(wpi_data_prepped[[2022-Jan]:[2023-Oct]],MATCH($U860,wpi_data_prepped[category/commodity],0),MATCH(AG$858,wpi_data_prepped[[#Headers],[2022-Jan]:[2023-Oct]],0))</f>
        <v>3767.48</v>
      </c>
      <c r="AI860">
        <f>INDEX(wpi_data_prepped[[2022-Jan]:[2023-Oct]],MATCH($U860,wpi_data_prepped[category/commodity],0),MATCH(AI$858,wpi_data_prepped[[#Headers],[2022-Jan]:[2023-Oct]],0))</f>
        <v>3651.33</v>
      </c>
      <c r="AJ860">
        <f>INDEX(wpi_data_prepped[[2022-Jan]:[2023-Oct]],MATCH($U860,wpi_data_prepped[category/commodity],0),MATCH(AJ$858,wpi_data_prepped[[#Headers],[2022-Jan]:[2023-Oct]],0))</f>
        <v>3680.9</v>
      </c>
      <c r="AK860">
        <f>INDEX(wpi_data_prepped[[2022-Jan]:[2023-Oct]],MATCH($U860,wpi_data_prepped[category/commodity],0),MATCH(AK$858,wpi_data_prepped[[#Headers],[2022-Jan]:[2023-Oct]],0))</f>
        <v>3666.11</v>
      </c>
      <c r="AL860">
        <f>INDEX(wpi_data_prepped[[2022-Jan]:[2023-Oct]],MATCH($U860,wpi_data_prepped[category/commodity],0),MATCH(AL$858,wpi_data_prepped[[#Headers],[2022-Jan]:[2023-Oct]],0))</f>
        <v>3699.9</v>
      </c>
      <c r="AM860">
        <f>INDEX(wpi_data_prepped[[2022-Jan]:[2023-Oct]],MATCH($U860,wpi_data_prepped[category/commodity],0),MATCH(AM$858,wpi_data_prepped[[#Headers],[2022-Jan]:[2023-Oct]],0))</f>
        <v>3754.81</v>
      </c>
      <c r="AN860">
        <f>INDEX(wpi_data_prepped[[2022-Jan]:[2023-Oct]],MATCH($U860,wpi_data_prepped[category/commodity],0),MATCH(AN$858,wpi_data_prepped[[#Headers],[2022-Jan]:[2023-Oct]],0))</f>
        <v>3697.79</v>
      </c>
      <c r="AO860">
        <f>INDEX(wpi_data_prepped[[2022-Jan]:[2023-Oct]],MATCH($U860,wpi_data_prepped[category/commodity],0),MATCH(AO$858,wpi_data_prepped[[#Headers],[2022-Jan]:[2023-Oct]],0))</f>
        <v>3718.91</v>
      </c>
      <c r="AP860">
        <f>INDEX(wpi_data_prepped[[2022-Jan]:[2023-Oct]],MATCH($U860,wpi_data_prepped[category/commodity],0),MATCH(AP$858,wpi_data_prepped[[#Headers],[2022-Jan]:[2023-Oct]],0))</f>
        <v>4048.35</v>
      </c>
      <c r="AQ860">
        <f>INDEX(wpi_data_prepped[[2022-Jan]:[2023-Oct]],MATCH($U860,wpi_data_prepped[category/commodity],0),MATCH(AQ$858,wpi_data_prepped[[#Headers],[2022-Jan]:[2023-Oct]],0))</f>
        <v>4018.79</v>
      </c>
      <c r="AR860">
        <f>INDEX(wpi_data_prepped[[2022-Jan]:[2023-Oct]],MATCH($U860,wpi_data_prepped[category/commodity],0),MATCH(AR$858,wpi_data_prepped[[#Headers],[2022-Jan]:[2023-Oct]],0))</f>
        <v>3877.3</v>
      </c>
      <c r="AS860">
        <f>INDEX(wpi_data_prepped[[2022-Jan]:[2023-Oct]],MATCH($U860,wpi_data_prepped[category/commodity],0),MATCH(AS$858,wpi_data_prepped[[#Headers],[2022-Jan]:[2023-Oct]],0))</f>
        <v>3913.2</v>
      </c>
    </row>
    <row r="861" spans="1:45" x14ac:dyDescent="0.35">
      <c r="A861" s="8" t="s">
        <v>801</v>
      </c>
      <c r="B861" s="4">
        <v>404.24</v>
      </c>
      <c r="N861" t="s">
        <v>863</v>
      </c>
      <c r="O861">
        <v>414.51999999999992</v>
      </c>
      <c r="U861" t="s">
        <v>464</v>
      </c>
      <c r="V861">
        <f>INDEX(wpi_data_prepped[[2022-Jan]:[2023-Oct]],MATCH($U861,wpi_data_prepped[category/commodity],0),MATCH(V$858,wpi_data_prepped[[#Headers],[2022-Jan]:[2023-Oct]],0))</f>
        <v>1673.99</v>
      </c>
      <c r="W861">
        <f>INDEX(wpi_data_prepped[[2022-Jan]:[2023-Oct]],MATCH($U861,wpi_data_prepped[category/commodity],0),MATCH(W$858,wpi_data_prepped[[#Headers],[2022-Jan]:[2023-Oct]],0))</f>
        <v>1711.11</v>
      </c>
      <c r="X861">
        <f>INDEX(wpi_data_prepped[[2022-Jan]:[2023-Oct]],MATCH($U861,wpi_data_prepped[category/commodity],0),MATCH(X$858,wpi_data_prepped[[#Headers],[2022-Jan]:[2023-Oct]],0))</f>
        <v>1780.39</v>
      </c>
      <c r="Y861">
        <f>INDEX(wpi_data_prepped[[2022-Jan]:[2023-Oct]],MATCH($U861,wpi_data_prepped[category/commodity],0),MATCH(Y$858,wpi_data_prepped[[#Headers],[2022-Jan]:[2023-Oct]],0))</f>
        <v>1870.71</v>
      </c>
      <c r="Z861">
        <f>INDEX(wpi_data_prepped[[2022-Jan]:[2023-Oct]],MATCH($U861,wpi_data_prepped[category/commodity],0),MATCH(Z$858,wpi_data_prepped[[#Headers],[2022-Jan]:[2023-Oct]],0))</f>
        <v>2024.13</v>
      </c>
      <c r="AB861">
        <f>INDEX(wpi_data_prepped[[2022-Jan]:[2023-Oct]],MATCH($U861,wpi_data_prepped[category/commodity],0),MATCH(AB$858,wpi_data_prepped[[#Headers],[2022-Jan]:[2023-Oct]],0))</f>
        <v>2067.4299999999998</v>
      </c>
      <c r="AC861">
        <f>INDEX(wpi_data_prepped[[2022-Jan]:[2023-Oct]],MATCH($U861,wpi_data_prepped[category/commodity],0),MATCH(AC$858,wpi_data_prepped[[#Headers],[2022-Jan]:[2023-Oct]],0))</f>
        <v>2061.25</v>
      </c>
      <c r="AD861">
        <f>INDEX(wpi_data_prepped[[2022-Jan]:[2023-Oct]],MATCH($U861,wpi_data_prepped[category/commodity],0),MATCH(AD$858,wpi_data_prepped[[#Headers],[2022-Jan]:[2023-Oct]],0))</f>
        <v>1969.69</v>
      </c>
      <c r="AE861">
        <f>INDEX(wpi_data_prepped[[2022-Jan]:[2023-Oct]],MATCH($U861,wpi_data_prepped[category/commodity],0),MATCH(AE$858,wpi_data_prepped[[#Headers],[2022-Jan]:[2023-Oct]],0))</f>
        <v>1959.79</v>
      </c>
      <c r="AF861">
        <f>INDEX(wpi_data_prepped[[2022-Jan]:[2023-Oct]],MATCH($U861,wpi_data_prepped[category/commodity],0),MATCH(AF$858,wpi_data_prepped[[#Headers],[2022-Jan]:[2023-Oct]],0))</f>
        <v>1954.84</v>
      </c>
      <c r="AG861">
        <f>INDEX(wpi_data_prepped[[2022-Jan]:[2023-Oct]],MATCH($U861,wpi_data_prepped[category/commodity],0),MATCH(AG$858,wpi_data_prepped[[#Headers],[2022-Jan]:[2023-Oct]],0))</f>
        <v>2014.23</v>
      </c>
      <c r="AI861">
        <f>INDEX(wpi_data_prepped[[2022-Jan]:[2023-Oct]],MATCH($U861,wpi_data_prepped[category/commodity],0),MATCH(AI$858,wpi_data_prepped[[#Headers],[2022-Jan]:[2023-Oct]],0))</f>
        <v>1954.84</v>
      </c>
      <c r="AJ861">
        <f>INDEX(wpi_data_prepped[[2022-Jan]:[2023-Oct]],MATCH($U861,wpi_data_prepped[category/commodity],0),MATCH(AJ$858,wpi_data_prepped[[#Headers],[2022-Jan]:[2023-Oct]],0))</f>
        <v>1925.15</v>
      </c>
      <c r="AK861">
        <f>INDEX(wpi_data_prepped[[2022-Jan]:[2023-Oct]],MATCH($U861,wpi_data_prepped[category/commodity],0),MATCH(AK$858,wpi_data_prepped[[#Headers],[2022-Jan]:[2023-Oct]],0))</f>
        <v>1949.9</v>
      </c>
      <c r="AL861">
        <f>INDEX(wpi_data_prepped[[2022-Jan]:[2023-Oct]],MATCH($U861,wpi_data_prepped[category/commodity],0),MATCH(AL$858,wpi_data_prepped[[#Headers],[2022-Jan]:[2023-Oct]],0))</f>
        <v>1935.05</v>
      </c>
      <c r="AM861">
        <f>INDEX(wpi_data_prepped[[2022-Jan]:[2023-Oct]],MATCH($U861,wpi_data_prepped[category/commodity],0),MATCH(AM$858,wpi_data_prepped[[#Headers],[2022-Jan]:[2023-Oct]],0))</f>
        <v>1889.27</v>
      </c>
      <c r="AN861">
        <f>INDEX(wpi_data_prepped[[2022-Jan]:[2023-Oct]],MATCH($U861,wpi_data_prepped[category/commodity],0),MATCH(AN$858,wpi_data_prepped[[#Headers],[2022-Jan]:[2023-Oct]],0))</f>
        <v>1838.54</v>
      </c>
      <c r="AO861">
        <f>INDEX(wpi_data_prepped[[2022-Jan]:[2023-Oct]],MATCH($U861,wpi_data_prepped[category/commodity],0),MATCH(AO$858,wpi_data_prepped[[#Headers],[2022-Jan]:[2023-Oct]],0))</f>
        <v>1808.85</v>
      </c>
      <c r="AP861">
        <f>INDEX(wpi_data_prepped[[2022-Jan]:[2023-Oct]],MATCH($U861,wpi_data_prepped[category/commodity],0),MATCH(AP$858,wpi_data_prepped[[#Headers],[2022-Jan]:[2023-Oct]],0))</f>
        <v>1798.95</v>
      </c>
      <c r="AQ861">
        <f>INDEX(wpi_data_prepped[[2022-Jan]:[2023-Oct]],MATCH($U861,wpi_data_prepped[category/commodity],0),MATCH(AQ$858,wpi_data_prepped[[#Headers],[2022-Jan]:[2023-Oct]],0))</f>
        <v>1844.73</v>
      </c>
      <c r="AR861">
        <f>INDEX(wpi_data_prepped[[2022-Jan]:[2023-Oct]],MATCH($U861,wpi_data_prepped[category/commodity],0),MATCH(AR$858,wpi_data_prepped[[#Headers],[2022-Jan]:[2023-Oct]],0))</f>
        <v>1894.22</v>
      </c>
      <c r="AS861">
        <f>INDEX(wpi_data_prepped[[2022-Jan]:[2023-Oct]],MATCH($U861,wpi_data_prepped[category/commodity],0),MATCH(AS$858,wpi_data_prepped[[#Headers],[2022-Jan]:[2023-Oct]],0))</f>
        <v>1923.91</v>
      </c>
    </row>
    <row r="862" spans="1:45" x14ac:dyDescent="0.35">
      <c r="A862" s="7" t="s">
        <v>159</v>
      </c>
      <c r="B862" s="3">
        <v>390.2</v>
      </c>
      <c r="N862" t="s">
        <v>801</v>
      </c>
      <c r="O862">
        <v>396.99363636363637</v>
      </c>
    </row>
    <row r="863" spans="1:45" x14ac:dyDescent="0.35">
      <c r="A863" s="7" t="s">
        <v>804</v>
      </c>
      <c r="B863" s="3">
        <v>372.05</v>
      </c>
      <c r="N863" t="s">
        <v>159</v>
      </c>
      <c r="O863">
        <v>389.51636363636368</v>
      </c>
    </row>
    <row r="864" spans="1:45" x14ac:dyDescent="0.35">
      <c r="A864" s="7" t="s">
        <v>37</v>
      </c>
      <c r="B864" s="3">
        <v>355.48</v>
      </c>
      <c r="N864" t="s">
        <v>804</v>
      </c>
      <c r="O864">
        <v>363.21181818181822</v>
      </c>
    </row>
    <row r="865" spans="1:15" x14ac:dyDescent="0.35">
      <c r="A865" s="7" t="s">
        <v>828</v>
      </c>
      <c r="B865" s="3">
        <v>349.24</v>
      </c>
      <c r="N865" t="s">
        <v>828</v>
      </c>
      <c r="O865">
        <v>344.34409090909088</v>
      </c>
    </row>
    <row r="866" spans="1:15" x14ac:dyDescent="0.35">
      <c r="A866" s="8" t="s">
        <v>790</v>
      </c>
      <c r="B866" s="4">
        <v>343</v>
      </c>
      <c r="N866" t="s">
        <v>589</v>
      </c>
      <c r="O866">
        <v>333.87545454545455</v>
      </c>
    </row>
    <row r="867" spans="1:15" x14ac:dyDescent="0.35">
      <c r="A867" s="7" t="s">
        <v>863</v>
      </c>
      <c r="B867" s="3">
        <v>340.67</v>
      </c>
      <c r="N867" t="s">
        <v>626</v>
      </c>
      <c r="O867">
        <v>332.89818181818174</v>
      </c>
    </row>
    <row r="868" spans="1:15" x14ac:dyDescent="0.35">
      <c r="A868" s="7" t="s">
        <v>589</v>
      </c>
      <c r="B868" s="3">
        <v>330.72</v>
      </c>
      <c r="N868" t="s">
        <v>37</v>
      </c>
      <c r="O868">
        <v>325.95045454545453</v>
      </c>
    </row>
    <row r="869" spans="1:15" x14ac:dyDescent="0.35">
      <c r="A869" s="8" t="s">
        <v>626</v>
      </c>
      <c r="B869" s="4">
        <v>309.22000000000003</v>
      </c>
      <c r="N869" t="s">
        <v>790</v>
      </c>
      <c r="O869">
        <v>314.21045454545452</v>
      </c>
    </row>
    <row r="870" spans="1:15" x14ac:dyDescent="0.35">
      <c r="A870" s="8" t="s">
        <v>829</v>
      </c>
      <c r="B870" s="4">
        <v>295.8</v>
      </c>
      <c r="N870" t="s">
        <v>829</v>
      </c>
      <c r="O870">
        <v>299.33</v>
      </c>
    </row>
    <row r="871" spans="1:15" x14ac:dyDescent="0.35">
      <c r="A871" s="8" t="s">
        <v>446</v>
      </c>
      <c r="B871" s="4">
        <v>290.20999999999998</v>
      </c>
      <c r="N871" t="s">
        <v>799</v>
      </c>
      <c r="O871">
        <v>288.20454545454544</v>
      </c>
    </row>
    <row r="872" spans="1:15" x14ac:dyDescent="0.35">
      <c r="A872" s="8" t="s">
        <v>610</v>
      </c>
      <c r="B872" s="4">
        <v>289.68</v>
      </c>
      <c r="N872" t="s">
        <v>446</v>
      </c>
      <c r="O872">
        <v>285.33045454545447</v>
      </c>
    </row>
    <row r="873" spans="1:15" x14ac:dyDescent="0.35">
      <c r="A873" s="8" t="s">
        <v>799</v>
      </c>
      <c r="B873" s="4">
        <v>284.68</v>
      </c>
      <c r="N873" t="s">
        <v>610</v>
      </c>
      <c r="O873">
        <v>284.01954545454555</v>
      </c>
    </row>
    <row r="874" spans="1:15" x14ac:dyDescent="0.35">
      <c r="A874" s="7" t="s">
        <v>290</v>
      </c>
      <c r="B874" s="3">
        <v>261.12</v>
      </c>
      <c r="N874" t="s">
        <v>873</v>
      </c>
      <c r="O874">
        <v>243.1459090909091</v>
      </c>
    </row>
    <row r="875" spans="1:15" x14ac:dyDescent="0.35">
      <c r="A875" s="8" t="s">
        <v>166</v>
      </c>
      <c r="B875" s="4">
        <v>245.36</v>
      </c>
      <c r="N875" t="s">
        <v>38</v>
      </c>
      <c r="O875">
        <v>240.87045454545452</v>
      </c>
    </row>
    <row r="876" spans="1:15" x14ac:dyDescent="0.35">
      <c r="A876" s="7" t="s">
        <v>314</v>
      </c>
      <c r="B876" s="3">
        <v>245.04</v>
      </c>
      <c r="N876" t="s">
        <v>290</v>
      </c>
      <c r="O876">
        <v>237.74818181818185</v>
      </c>
    </row>
    <row r="877" spans="1:15" x14ac:dyDescent="0.35">
      <c r="A877" s="8" t="s">
        <v>38</v>
      </c>
      <c r="B877" s="4">
        <v>244.48</v>
      </c>
      <c r="N877" t="s">
        <v>337</v>
      </c>
      <c r="O877">
        <v>237.45090909090914</v>
      </c>
    </row>
    <row r="878" spans="1:15" x14ac:dyDescent="0.35">
      <c r="A878" s="7" t="s">
        <v>858</v>
      </c>
      <c r="B878" s="3">
        <v>241.98</v>
      </c>
      <c r="N878" t="s">
        <v>858</v>
      </c>
      <c r="O878">
        <v>236.24318181818174</v>
      </c>
    </row>
    <row r="879" spans="1:15" x14ac:dyDescent="0.35">
      <c r="A879" s="7" t="s">
        <v>807</v>
      </c>
      <c r="B879" s="3">
        <v>239.66</v>
      </c>
      <c r="N879" t="s">
        <v>314</v>
      </c>
      <c r="O879">
        <v>235.77363636363637</v>
      </c>
    </row>
    <row r="880" spans="1:15" x14ac:dyDescent="0.35">
      <c r="A880" s="7" t="s">
        <v>873</v>
      </c>
      <c r="B880" s="3">
        <v>239.5</v>
      </c>
      <c r="N880" t="s">
        <v>166</v>
      </c>
      <c r="O880">
        <v>232.66681818181823</v>
      </c>
    </row>
    <row r="881" spans="1:15" x14ac:dyDescent="0.35">
      <c r="A881" s="8" t="s">
        <v>337</v>
      </c>
      <c r="B881" s="4">
        <v>236.14</v>
      </c>
      <c r="N881" t="s">
        <v>807</v>
      </c>
      <c r="O881">
        <v>231.20045454545453</v>
      </c>
    </row>
    <row r="882" spans="1:15" x14ac:dyDescent="0.35">
      <c r="A882" s="7" t="s">
        <v>843</v>
      </c>
      <c r="B882" s="3">
        <v>207.92</v>
      </c>
      <c r="N882" t="s">
        <v>820</v>
      </c>
      <c r="O882">
        <v>209.20227272727277</v>
      </c>
    </row>
    <row r="883" spans="1:15" x14ac:dyDescent="0.35">
      <c r="A883" s="8" t="s">
        <v>789</v>
      </c>
      <c r="B883" s="4">
        <v>203.61</v>
      </c>
      <c r="N883" t="s">
        <v>843</v>
      </c>
      <c r="O883">
        <v>204.00500000000002</v>
      </c>
    </row>
    <row r="884" spans="1:15" x14ac:dyDescent="0.35">
      <c r="A884" s="7" t="s">
        <v>839</v>
      </c>
      <c r="B884" s="3">
        <v>195.34</v>
      </c>
      <c r="N884" t="s">
        <v>839</v>
      </c>
      <c r="O884">
        <v>196.20727272727271</v>
      </c>
    </row>
    <row r="885" spans="1:15" x14ac:dyDescent="0.35">
      <c r="A885" s="7" t="s">
        <v>809</v>
      </c>
      <c r="B885" s="3">
        <v>192.26</v>
      </c>
      <c r="N885" t="s">
        <v>604</v>
      </c>
      <c r="O885">
        <v>194.53454545454542</v>
      </c>
    </row>
    <row r="886" spans="1:15" x14ac:dyDescent="0.35">
      <c r="A886" s="8" t="s">
        <v>18</v>
      </c>
      <c r="B886" s="4">
        <v>191.52</v>
      </c>
      <c r="N886" t="s">
        <v>870</v>
      </c>
      <c r="O886">
        <v>193.8386363636364</v>
      </c>
    </row>
    <row r="887" spans="1:15" x14ac:dyDescent="0.35">
      <c r="A887" s="7" t="s">
        <v>820</v>
      </c>
      <c r="B887" s="3">
        <v>191.38</v>
      </c>
      <c r="N887" t="s">
        <v>627</v>
      </c>
      <c r="O887">
        <v>192.38090909090909</v>
      </c>
    </row>
    <row r="888" spans="1:15" x14ac:dyDescent="0.35">
      <c r="A888" s="8" t="s">
        <v>586</v>
      </c>
      <c r="B888" s="4">
        <v>190.7</v>
      </c>
      <c r="N888" t="s">
        <v>789</v>
      </c>
      <c r="O888">
        <v>190.64818181818183</v>
      </c>
    </row>
    <row r="889" spans="1:15" x14ac:dyDescent="0.35">
      <c r="A889" s="7" t="s">
        <v>870</v>
      </c>
      <c r="B889" s="3">
        <v>189.26</v>
      </c>
      <c r="N889" t="s">
        <v>246</v>
      </c>
      <c r="O889">
        <v>189.47636363636363</v>
      </c>
    </row>
    <row r="890" spans="1:15" x14ac:dyDescent="0.35">
      <c r="A890" s="7" t="s">
        <v>461</v>
      </c>
      <c r="B890" s="3">
        <v>177.2</v>
      </c>
      <c r="N890" t="s">
        <v>809</v>
      </c>
      <c r="O890">
        <v>184.21590909090909</v>
      </c>
    </row>
    <row r="891" spans="1:15" x14ac:dyDescent="0.35">
      <c r="A891" s="8" t="s">
        <v>604</v>
      </c>
      <c r="B891" s="4">
        <v>175.86</v>
      </c>
      <c r="N891" t="s">
        <v>586</v>
      </c>
      <c r="O891">
        <v>180.50272727272727</v>
      </c>
    </row>
    <row r="892" spans="1:15" x14ac:dyDescent="0.35">
      <c r="A892" s="8" t="s">
        <v>437</v>
      </c>
      <c r="B892" s="4">
        <v>175.72</v>
      </c>
      <c r="N892" t="s">
        <v>19</v>
      </c>
      <c r="O892">
        <v>173.79863636363632</v>
      </c>
    </row>
    <row r="893" spans="1:15" x14ac:dyDescent="0.35">
      <c r="A893" s="8" t="s">
        <v>737</v>
      </c>
      <c r="B893" s="4">
        <v>175.39</v>
      </c>
      <c r="N893" t="s">
        <v>18</v>
      </c>
      <c r="O893">
        <v>172.44045454545451</v>
      </c>
    </row>
    <row r="894" spans="1:15" x14ac:dyDescent="0.35">
      <c r="A894" s="7" t="s">
        <v>246</v>
      </c>
      <c r="B894" s="3">
        <v>175.07</v>
      </c>
      <c r="N894" t="s">
        <v>437</v>
      </c>
      <c r="O894">
        <v>171.1690909090909</v>
      </c>
    </row>
    <row r="895" spans="1:15" x14ac:dyDescent="0.35">
      <c r="A895" s="7" t="s">
        <v>173</v>
      </c>
      <c r="B895" s="3">
        <v>174.84</v>
      </c>
      <c r="N895" t="s">
        <v>461</v>
      </c>
      <c r="O895">
        <v>169.71772727272727</v>
      </c>
    </row>
    <row r="896" spans="1:15" x14ac:dyDescent="0.35">
      <c r="A896" s="7" t="s">
        <v>627</v>
      </c>
      <c r="B896" s="3">
        <v>174.29</v>
      </c>
      <c r="N896" t="s">
        <v>173</v>
      </c>
      <c r="O896">
        <v>168.39545454545458</v>
      </c>
    </row>
    <row r="897" spans="1:15" x14ac:dyDescent="0.35">
      <c r="A897" s="8" t="s">
        <v>325</v>
      </c>
      <c r="B897" s="4">
        <v>167.02</v>
      </c>
      <c r="N897" t="s">
        <v>737</v>
      </c>
      <c r="O897">
        <v>167.80818181818182</v>
      </c>
    </row>
    <row r="898" spans="1:15" x14ac:dyDescent="0.35">
      <c r="A898" s="8" t="s">
        <v>832</v>
      </c>
      <c r="B898" s="4">
        <v>166.39</v>
      </c>
      <c r="N898" t="s">
        <v>394</v>
      </c>
      <c r="O898">
        <v>163.24863636363636</v>
      </c>
    </row>
    <row r="899" spans="1:15" x14ac:dyDescent="0.35">
      <c r="A899" s="8" t="s">
        <v>740</v>
      </c>
      <c r="B899" s="4">
        <v>162.72999999999999</v>
      </c>
      <c r="N899" t="s">
        <v>832</v>
      </c>
      <c r="O899">
        <v>161.53545454545451</v>
      </c>
    </row>
    <row r="900" spans="1:15" x14ac:dyDescent="0.35">
      <c r="A900" s="7" t="s">
        <v>599</v>
      </c>
      <c r="B900" s="3">
        <v>157.09</v>
      </c>
      <c r="N900" t="s">
        <v>322</v>
      </c>
      <c r="O900">
        <v>161.20090909090911</v>
      </c>
    </row>
    <row r="901" spans="1:15" x14ac:dyDescent="0.35">
      <c r="A901" s="8" t="s">
        <v>394</v>
      </c>
      <c r="B901" s="4">
        <v>154.9</v>
      </c>
      <c r="N901" t="s">
        <v>867</v>
      </c>
      <c r="O901">
        <v>161.08954545454546</v>
      </c>
    </row>
    <row r="902" spans="1:15" x14ac:dyDescent="0.35">
      <c r="A902" s="8" t="s">
        <v>813</v>
      </c>
      <c r="B902" s="4">
        <v>153.41999999999999</v>
      </c>
      <c r="N902" t="s">
        <v>740</v>
      </c>
      <c r="O902">
        <v>158.03727272727275</v>
      </c>
    </row>
    <row r="903" spans="1:15" x14ac:dyDescent="0.35">
      <c r="A903" s="7" t="s">
        <v>19</v>
      </c>
      <c r="B903" s="3">
        <v>151.94999999999999</v>
      </c>
      <c r="N903" t="s">
        <v>325</v>
      </c>
      <c r="O903">
        <v>152.92090909090908</v>
      </c>
    </row>
    <row r="904" spans="1:15" x14ac:dyDescent="0.35">
      <c r="A904" s="7" t="s">
        <v>867</v>
      </c>
      <c r="B904" s="3">
        <v>151.01</v>
      </c>
      <c r="N904" t="s">
        <v>392</v>
      </c>
      <c r="O904">
        <v>151.81954545454548</v>
      </c>
    </row>
    <row r="905" spans="1:15" x14ac:dyDescent="0.35">
      <c r="A905" s="7" t="s">
        <v>198</v>
      </c>
      <c r="B905" s="3">
        <v>148.5</v>
      </c>
      <c r="N905" t="s">
        <v>391</v>
      </c>
      <c r="O905">
        <v>148.98545454545456</v>
      </c>
    </row>
    <row r="906" spans="1:15" x14ac:dyDescent="0.35">
      <c r="A906" s="8" t="s">
        <v>392</v>
      </c>
      <c r="B906" s="4">
        <v>148.11000000000001</v>
      </c>
      <c r="N906" t="s">
        <v>198</v>
      </c>
      <c r="O906">
        <v>146.34545454545457</v>
      </c>
    </row>
    <row r="907" spans="1:15" x14ac:dyDescent="0.35">
      <c r="A907" s="7" t="s">
        <v>391</v>
      </c>
      <c r="B907" s="3">
        <v>142.96</v>
      </c>
      <c r="N907" t="s">
        <v>813</v>
      </c>
      <c r="O907">
        <v>143.89909090909089</v>
      </c>
    </row>
    <row r="908" spans="1:15" x14ac:dyDescent="0.35">
      <c r="A908" s="8" t="s">
        <v>327</v>
      </c>
      <c r="B908" s="4">
        <v>137.65</v>
      </c>
      <c r="N908" t="s">
        <v>20</v>
      </c>
      <c r="O908">
        <v>134.51454545454544</v>
      </c>
    </row>
    <row r="909" spans="1:15" x14ac:dyDescent="0.35">
      <c r="A909" s="8" t="s">
        <v>400</v>
      </c>
      <c r="B909" s="4">
        <v>133.91999999999999</v>
      </c>
      <c r="N909" t="s">
        <v>247</v>
      </c>
      <c r="O909">
        <v>133.14227272727271</v>
      </c>
    </row>
    <row r="910" spans="1:15" x14ac:dyDescent="0.35">
      <c r="A910" s="7" t="s">
        <v>322</v>
      </c>
      <c r="B910" s="3">
        <v>131.46</v>
      </c>
      <c r="N910" t="s">
        <v>397</v>
      </c>
      <c r="O910">
        <v>131.96454545454546</v>
      </c>
    </row>
    <row r="911" spans="1:15" x14ac:dyDescent="0.35">
      <c r="A911" s="8" t="s">
        <v>462</v>
      </c>
      <c r="B911" s="4">
        <v>131.12</v>
      </c>
      <c r="N911" t="s">
        <v>821</v>
      </c>
      <c r="O911">
        <v>131.21181818181819</v>
      </c>
    </row>
    <row r="912" spans="1:15" x14ac:dyDescent="0.35">
      <c r="A912" s="7" t="s">
        <v>140</v>
      </c>
      <c r="B912" s="3">
        <v>130.03</v>
      </c>
      <c r="N912" t="s">
        <v>462</v>
      </c>
      <c r="O912">
        <v>129.07454545454547</v>
      </c>
    </row>
    <row r="913" spans="1:15" x14ac:dyDescent="0.35">
      <c r="A913" s="8" t="s">
        <v>150</v>
      </c>
      <c r="B913" s="4">
        <v>130.02000000000001</v>
      </c>
      <c r="N913" t="s">
        <v>327</v>
      </c>
      <c r="O913">
        <v>128.76136363636363</v>
      </c>
    </row>
    <row r="914" spans="1:15" x14ac:dyDescent="0.35">
      <c r="A914" s="8" t="s">
        <v>856</v>
      </c>
      <c r="B914" s="4">
        <v>128.86000000000001</v>
      </c>
      <c r="N914" t="s">
        <v>856</v>
      </c>
      <c r="O914">
        <v>128.29954545454547</v>
      </c>
    </row>
    <row r="915" spans="1:15" x14ac:dyDescent="0.35">
      <c r="A915" s="8" t="s">
        <v>458</v>
      </c>
      <c r="B915" s="4">
        <v>126.17</v>
      </c>
      <c r="N915" t="s">
        <v>108</v>
      </c>
      <c r="O915">
        <v>125.9681818181818</v>
      </c>
    </row>
    <row r="916" spans="1:15" x14ac:dyDescent="0.35">
      <c r="A916" s="8" t="s">
        <v>247</v>
      </c>
      <c r="B916" s="4">
        <v>124.14</v>
      </c>
      <c r="N916" t="s">
        <v>140</v>
      </c>
      <c r="O916">
        <v>124.37454545454547</v>
      </c>
    </row>
    <row r="917" spans="1:15" x14ac:dyDescent="0.35">
      <c r="A917" s="8" t="s">
        <v>821</v>
      </c>
      <c r="B917" s="4">
        <v>123</v>
      </c>
      <c r="N917" t="s">
        <v>599</v>
      </c>
      <c r="O917">
        <v>124.18681818181817</v>
      </c>
    </row>
    <row r="918" spans="1:15" x14ac:dyDescent="0.35">
      <c r="A918" s="7" t="s">
        <v>397</v>
      </c>
      <c r="B918" s="3">
        <v>121.65</v>
      </c>
      <c r="N918" t="s">
        <v>400</v>
      </c>
      <c r="O918">
        <v>122.03045454545457</v>
      </c>
    </row>
    <row r="919" spans="1:15" x14ac:dyDescent="0.35">
      <c r="A919" s="7" t="s">
        <v>31</v>
      </c>
      <c r="B919" s="3">
        <v>119.43</v>
      </c>
      <c r="N919" t="s">
        <v>458</v>
      </c>
      <c r="O919">
        <v>119.89181818181819</v>
      </c>
    </row>
    <row r="920" spans="1:15" x14ac:dyDescent="0.35">
      <c r="A920" s="8" t="s">
        <v>108</v>
      </c>
      <c r="B920" s="4">
        <v>119.16</v>
      </c>
      <c r="N920" t="s">
        <v>816</v>
      </c>
      <c r="O920">
        <v>115.41954545454543</v>
      </c>
    </row>
    <row r="921" spans="1:15" x14ac:dyDescent="0.35">
      <c r="A921" s="8" t="s">
        <v>20</v>
      </c>
      <c r="B921" s="4">
        <v>117.62</v>
      </c>
      <c r="N921" t="s">
        <v>826</v>
      </c>
      <c r="O921">
        <v>111.40318181818181</v>
      </c>
    </row>
    <row r="922" spans="1:15" x14ac:dyDescent="0.35">
      <c r="A922" s="8" t="s">
        <v>816</v>
      </c>
      <c r="B922" s="4">
        <v>117.49</v>
      </c>
      <c r="N922" t="s">
        <v>150</v>
      </c>
      <c r="O922">
        <v>110.67590909090909</v>
      </c>
    </row>
    <row r="923" spans="1:15" x14ac:dyDescent="0.35">
      <c r="A923" s="8" t="s">
        <v>251</v>
      </c>
      <c r="B923" s="4">
        <v>115.77</v>
      </c>
      <c r="N923" t="s">
        <v>729</v>
      </c>
      <c r="O923">
        <v>110.47272727272725</v>
      </c>
    </row>
    <row r="924" spans="1:15" x14ac:dyDescent="0.35">
      <c r="A924" s="8" t="s">
        <v>495</v>
      </c>
      <c r="B924" s="4">
        <v>115.15</v>
      </c>
      <c r="N924" t="s">
        <v>831</v>
      </c>
      <c r="O924">
        <v>110.3509090909091</v>
      </c>
    </row>
    <row r="925" spans="1:15" x14ac:dyDescent="0.35">
      <c r="A925" s="8" t="s">
        <v>641</v>
      </c>
      <c r="B925" s="4">
        <v>115.15</v>
      </c>
      <c r="N925" t="s">
        <v>883</v>
      </c>
      <c r="O925">
        <v>110.3509090909091</v>
      </c>
    </row>
    <row r="926" spans="1:15" x14ac:dyDescent="0.35">
      <c r="A926" s="8" t="s">
        <v>826</v>
      </c>
      <c r="B926" s="4">
        <v>115.08</v>
      </c>
      <c r="N926" t="s">
        <v>31</v>
      </c>
      <c r="O926">
        <v>109.62681818181818</v>
      </c>
    </row>
    <row r="927" spans="1:15" x14ac:dyDescent="0.35">
      <c r="A927" s="7" t="s">
        <v>171</v>
      </c>
      <c r="B927" s="3">
        <v>113.13</v>
      </c>
      <c r="N927" t="s">
        <v>817</v>
      </c>
      <c r="O927">
        <v>108.86181818181818</v>
      </c>
    </row>
    <row r="928" spans="1:15" x14ac:dyDescent="0.35">
      <c r="A928" s="8" t="s">
        <v>831</v>
      </c>
      <c r="B928" s="4">
        <v>111.56</v>
      </c>
      <c r="N928" t="s">
        <v>495</v>
      </c>
      <c r="O928">
        <v>108.72954545454546</v>
      </c>
    </row>
    <row r="929" spans="1:15" x14ac:dyDescent="0.35">
      <c r="A929" s="7" t="s">
        <v>883</v>
      </c>
      <c r="B929" s="3">
        <v>111.56</v>
      </c>
      <c r="N929" t="s">
        <v>641</v>
      </c>
      <c r="O929">
        <v>108.72954545454546</v>
      </c>
    </row>
    <row r="930" spans="1:15" x14ac:dyDescent="0.35">
      <c r="A930" s="7" t="s">
        <v>817</v>
      </c>
      <c r="B930" s="3">
        <v>111.29</v>
      </c>
      <c r="N930" t="s">
        <v>874</v>
      </c>
      <c r="O930">
        <v>104.07954545454545</v>
      </c>
    </row>
    <row r="931" spans="1:15" x14ac:dyDescent="0.35">
      <c r="A931" s="8" t="s">
        <v>729</v>
      </c>
      <c r="B931" s="4">
        <v>110.37</v>
      </c>
      <c r="N931" t="s">
        <v>875</v>
      </c>
      <c r="O931">
        <v>103.80863636363637</v>
      </c>
    </row>
    <row r="932" spans="1:15" x14ac:dyDescent="0.35">
      <c r="A932" s="7" t="s">
        <v>797</v>
      </c>
      <c r="B932" s="3">
        <v>106.11</v>
      </c>
      <c r="N932" t="s">
        <v>797</v>
      </c>
      <c r="O932">
        <v>103.74909090909092</v>
      </c>
    </row>
    <row r="933" spans="1:15" x14ac:dyDescent="0.35">
      <c r="A933" s="8" t="s">
        <v>242</v>
      </c>
      <c r="B933" s="4">
        <v>105.4</v>
      </c>
      <c r="N933" t="s">
        <v>242</v>
      </c>
      <c r="O933">
        <v>103.50136363636362</v>
      </c>
    </row>
    <row r="934" spans="1:15" x14ac:dyDescent="0.35">
      <c r="A934" s="7" t="s">
        <v>875</v>
      </c>
      <c r="B934" s="3">
        <v>103.61</v>
      </c>
      <c r="N934" t="s">
        <v>251</v>
      </c>
      <c r="O934">
        <v>103.47318181818181</v>
      </c>
    </row>
    <row r="935" spans="1:15" x14ac:dyDescent="0.35">
      <c r="A935" s="8" t="s">
        <v>874</v>
      </c>
      <c r="B935" s="4">
        <v>102.27</v>
      </c>
      <c r="N935" t="s">
        <v>431</v>
      </c>
      <c r="O935">
        <v>103.36045454545454</v>
      </c>
    </row>
    <row r="936" spans="1:15" x14ac:dyDescent="0.35">
      <c r="A936" s="8" t="s">
        <v>90</v>
      </c>
      <c r="B936" s="4">
        <v>101.62</v>
      </c>
      <c r="N936" t="s">
        <v>90</v>
      </c>
      <c r="O936">
        <v>99.870909090909109</v>
      </c>
    </row>
    <row r="937" spans="1:15" x14ac:dyDescent="0.35">
      <c r="A937" s="8" t="s">
        <v>317</v>
      </c>
      <c r="B937" s="4">
        <v>100.05</v>
      </c>
      <c r="N937" t="s">
        <v>105</v>
      </c>
      <c r="O937">
        <v>98.074090909090899</v>
      </c>
    </row>
    <row r="938" spans="1:15" x14ac:dyDescent="0.35">
      <c r="A938" s="8" t="s">
        <v>431</v>
      </c>
      <c r="B938" s="4">
        <v>98</v>
      </c>
      <c r="N938" t="s">
        <v>529</v>
      </c>
      <c r="O938">
        <v>98.074090909090899</v>
      </c>
    </row>
    <row r="939" spans="1:15" x14ac:dyDescent="0.35">
      <c r="A939" s="7" t="s">
        <v>473</v>
      </c>
      <c r="B939" s="3">
        <v>94.77</v>
      </c>
      <c r="N939" t="s">
        <v>317</v>
      </c>
      <c r="O939">
        <v>97.436818181818168</v>
      </c>
    </row>
    <row r="940" spans="1:15" x14ac:dyDescent="0.35">
      <c r="A940" s="7" t="s">
        <v>105</v>
      </c>
      <c r="B940" s="3">
        <v>93.13</v>
      </c>
      <c r="N940" t="s">
        <v>841</v>
      </c>
      <c r="O940">
        <v>93.286818181818177</v>
      </c>
    </row>
    <row r="941" spans="1:15" x14ac:dyDescent="0.35">
      <c r="A941" s="7" t="s">
        <v>529</v>
      </c>
      <c r="B941" s="3">
        <v>93.13</v>
      </c>
      <c r="N941" t="s">
        <v>172</v>
      </c>
      <c r="O941">
        <v>92.779999999999987</v>
      </c>
    </row>
    <row r="942" spans="1:15" x14ac:dyDescent="0.35">
      <c r="A942" s="8" t="s">
        <v>172</v>
      </c>
      <c r="B942" s="4">
        <v>92.78</v>
      </c>
      <c r="N942" t="s">
        <v>611</v>
      </c>
      <c r="O942">
        <v>92.779999999999987</v>
      </c>
    </row>
    <row r="943" spans="1:15" x14ac:dyDescent="0.35">
      <c r="A943" s="7" t="s">
        <v>611</v>
      </c>
      <c r="B943" s="3">
        <v>92.78</v>
      </c>
      <c r="N943" t="s">
        <v>171</v>
      </c>
      <c r="O943">
        <v>91.88272727272728</v>
      </c>
    </row>
    <row r="944" spans="1:15" x14ac:dyDescent="0.35">
      <c r="A944" s="8" t="s">
        <v>841</v>
      </c>
      <c r="B944" s="4">
        <v>89.65</v>
      </c>
      <c r="N944" t="s">
        <v>692</v>
      </c>
      <c r="O944">
        <v>89.460909090909098</v>
      </c>
    </row>
    <row r="945" spans="1:15" x14ac:dyDescent="0.35">
      <c r="A945" s="8" t="s">
        <v>30</v>
      </c>
      <c r="B945" s="4">
        <v>89.07</v>
      </c>
      <c r="N945" t="s">
        <v>473</v>
      </c>
      <c r="O945">
        <v>87.927727272727282</v>
      </c>
    </row>
    <row r="946" spans="1:15" x14ac:dyDescent="0.35">
      <c r="A946" s="7" t="s">
        <v>692</v>
      </c>
      <c r="B946" s="3">
        <v>88.18</v>
      </c>
      <c r="N946" t="s">
        <v>160</v>
      </c>
      <c r="O946">
        <v>87.272272727272721</v>
      </c>
    </row>
    <row r="947" spans="1:15" x14ac:dyDescent="0.35">
      <c r="A947" s="8" t="s">
        <v>36</v>
      </c>
      <c r="B947" s="4">
        <v>87.99</v>
      </c>
      <c r="N947" t="s">
        <v>36</v>
      </c>
      <c r="O947">
        <v>85.49318181818181</v>
      </c>
    </row>
    <row r="948" spans="1:15" x14ac:dyDescent="0.35">
      <c r="A948" s="8" t="s">
        <v>160</v>
      </c>
      <c r="B948" s="4">
        <v>87</v>
      </c>
      <c r="N948" t="s">
        <v>30</v>
      </c>
      <c r="O948">
        <v>84.907272727272712</v>
      </c>
    </row>
    <row r="949" spans="1:15" x14ac:dyDescent="0.35">
      <c r="A949" s="8" t="s">
        <v>850</v>
      </c>
      <c r="B949" s="4">
        <v>84.27</v>
      </c>
      <c r="N949" t="s">
        <v>502</v>
      </c>
      <c r="O949">
        <v>82.44</v>
      </c>
    </row>
    <row r="950" spans="1:15" x14ac:dyDescent="0.35">
      <c r="A950" s="7" t="s">
        <v>851</v>
      </c>
      <c r="B950" s="3">
        <v>84.27</v>
      </c>
      <c r="N950" t="s">
        <v>163</v>
      </c>
      <c r="O950">
        <v>82.290909090909082</v>
      </c>
    </row>
    <row r="951" spans="1:15" x14ac:dyDescent="0.35">
      <c r="A951" s="7" t="s">
        <v>163</v>
      </c>
      <c r="B951" s="3">
        <v>82.68</v>
      </c>
      <c r="N951" t="s">
        <v>111</v>
      </c>
      <c r="O951">
        <v>80.943636363636386</v>
      </c>
    </row>
    <row r="952" spans="1:15" x14ac:dyDescent="0.35">
      <c r="A952" s="7" t="s">
        <v>502</v>
      </c>
      <c r="B952" s="3">
        <v>82.15</v>
      </c>
      <c r="N952" t="s">
        <v>850</v>
      </c>
      <c r="O952">
        <v>80.850909090909084</v>
      </c>
    </row>
    <row r="953" spans="1:15" x14ac:dyDescent="0.35">
      <c r="A953" s="7" t="s">
        <v>111</v>
      </c>
      <c r="B953" s="3">
        <v>81.400000000000006</v>
      </c>
      <c r="N953" t="s">
        <v>851</v>
      </c>
      <c r="O953">
        <v>80.850909090909084</v>
      </c>
    </row>
    <row r="954" spans="1:15" x14ac:dyDescent="0.35">
      <c r="A954" s="7" t="s">
        <v>615</v>
      </c>
      <c r="B954" s="3">
        <v>80.45</v>
      </c>
      <c r="N954" t="s">
        <v>430</v>
      </c>
      <c r="O954">
        <v>79.724090909090918</v>
      </c>
    </row>
    <row r="955" spans="1:15" x14ac:dyDescent="0.35">
      <c r="A955" s="7" t="s">
        <v>430</v>
      </c>
      <c r="B955" s="3">
        <v>79.680000000000007</v>
      </c>
      <c r="N955" t="s">
        <v>530</v>
      </c>
      <c r="O955">
        <v>78.741363636363644</v>
      </c>
    </row>
    <row r="956" spans="1:15" x14ac:dyDescent="0.35">
      <c r="A956" s="7" t="s">
        <v>553</v>
      </c>
      <c r="B956" s="3">
        <v>79.650000000000006</v>
      </c>
      <c r="N956" t="s">
        <v>393</v>
      </c>
      <c r="O956">
        <v>78.250909090909076</v>
      </c>
    </row>
    <row r="957" spans="1:15" x14ac:dyDescent="0.35">
      <c r="A957" s="7" t="s">
        <v>161</v>
      </c>
      <c r="B957" s="3">
        <v>79.52</v>
      </c>
      <c r="N957" t="s">
        <v>553</v>
      </c>
      <c r="O957">
        <v>78.228181818181824</v>
      </c>
    </row>
    <row r="958" spans="1:15" x14ac:dyDescent="0.35">
      <c r="A958" s="7" t="s">
        <v>591</v>
      </c>
      <c r="B958" s="3">
        <v>77.569999999999993</v>
      </c>
      <c r="N958" t="s">
        <v>161</v>
      </c>
      <c r="O958">
        <v>77.201363636363624</v>
      </c>
    </row>
    <row r="959" spans="1:15" x14ac:dyDescent="0.35">
      <c r="A959" s="8" t="s">
        <v>818</v>
      </c>
      <c r="B959" s="4">
        <v>77.53</v>
      </c>
      <c r="N959" t="s">
        <v>818</v>
      </c>
      <c r="O959">
        <v>76.349090909090918</v>
      </c>
    </row>
    <row r="960" spans="1:15" x14ac:dyDescent="0.35">
      <c r="A960" s="7" t="s">
        <v>393</v>
      </c>
      <c r="B960" s="3">
        <v>75.16</v>
      </c>
      <c r="N960" t="s">
        <v>798</v>
      </c>
      <c r="O960">
        <v>74.522727272727266</v>
      </c>
    </row>
    <row r="961" spans="1:15" x14ac:dyDescent="0.35">
      <c r="A961" s="8" t="s">
        <v>253</v>
      </c>
      <c r="B961" s="4">
        <v>75.05</v>
      </c>
      <c r="N961" t="s">
        <v>253</v>
      </c>
      <c r="O961">
        <v>74.332727272727283</v>
      </c>
    </row>
    <row r="962" spans="1:15" x14ac:dyDescent="0.35">
      <c r="A962" s="8" t="s">
        <v>530</v>
      </c>
      <c r="B962" s="4">
        <v>74.2</v>
      </c>
      <c r="N962" t="s">
        <v>315</v>
      </c>
      <c r="O962">
        <v>72.666818181818186</v>
      </c>
    </row>
    <row r="963" spans="1:15" x14ac:dyDescent="0.35">
      <c r="A963" s="7" t="s">
        <v>798</v>
      </c>
      <c r="B963" s="3">
        <v>70.290000000000006</v>
      </c>
      <c r="N963" t="s">
        <v>615</v>
      </c>
      <c r="O963">
        <v>71.663181818181812</v>
      </c>
    </row>
    <row r="964" spans="1:15" x14ac:dyDescent="0.35">
      <c r="A964" s="8" t="s">
        <v>561</v>
      </c>
      <c r="B964" s="4">
        <v>69.94</v>
      </c>
      <c r="N964" t="s">
        <v>459</v>
      </c>
      <c r="O964">
        <v>70.371818181818171</v>
      </c>
    </row>
    <row r="965" spans="1:15" x14ac:dyDescent="0.35">
      <c r="A965" s="8" t="s">
        <v>793</v>
      </c>
      <c r="B965" s="4">
        <v>69.489999999999995</v>
      </c>
      <c r="N965" t="s">
        <v>650</v>
      </c>
      <c r="O965">
        <v>70.3</v>
      </c>
    </row>
    <row r="966" spans="1:15" x14ac:dyDescent="0.35">
      <c r="A966" s="7" t="s">
        <v>188</v>
      </c>
      <c r="B966" s="3">
        <v>69.489999999999995</v>
      </c>
      <c r="N966" t="s">
        <v>593</v>
      </c>
      <c r="O966">
        <v>69.709545454545449</v>
      </c>
    </row>
    <row r="967" spans="1:15" x14ac:dyDescent="0.35">
      <c r="A967" s="7" t="s">
        <v>316</v>
      </c>
      <c r="B967" s="3">
        <v>68.61</v>
      </c>
      <c r="N967" t="s">
        <v>793</v>
      </c>
      <c r="O967">
        <v>68.391363636363636</v>
      </c>
    </row>
    <row r="968" spans="1:15" x14ac:dyDescent="0.35">
      <c r="A968" s="8" t="s">
        <v>366</v>
      </c>
      <c r="B968" s="4">
        <v>68.25</v>
      </c>
      <c r="N968" t="s">
        <v>561</v>
      </c>
      <c r="O968">
        <v>67.569090909090903</v>
      </c>
    </row>
    <row r="969" spans="1:15" x14ac:dyDescent="0.35">
      <c r="A969" s="7" t="s">
        <v>844</v>
      </c>
      <c r="B969" s="3">
        <v>68.13</v>
      </c>
      <c r="N969" t="s">
        <v>366</v>
      </c>
      <c r="O969">
        <v>66.935454545454547</v>
      </c>
    </row>
    <row r="970" spans="1:15" x14ac:dyDescent="0.35">
      <c r="A970" s="8" t="s">
        <v>315</v>
      </c>
      <c r="B970" s="4">
        <v>67.790000000000006</v>
      </c>
      <c r="N970" t="s">
        <v>298</v>
      </c>
      <c r="O970">
        <v>66.470454545454544</v>
      </c>
    </row>
    <row r="971" spans="1:15" x14ac:dyDescent="0.35">
      <c r="A971" s="7" t="s">
        <v>846</v>
      </c>
      <c r="B971" s="3">
        <v>66.819999999999993</v>
      </c>
      <c r="N971" t="s">
        <v>844</v>
      </c>
      <c r="O971">
        <v>65.896363636363631</v>
      </c>
    </row>
    <row r="972" spans="1:15" x14ac:dyDescent="0.35">
      <c r="A972" s="8" t="s">
        <v>650</v>
      </c>
      <c r="B972" s="4">
        <v>64.63</v>
      </c>
      <c r="N972" t="s">
        <v>846</v>
      </c>
      <c r="O972">
        <v>65.438636363636363</v>
      </c>
    </row>
    <row r="973" spans="1:15" x14ac:dyDescent="0.35">
      <c r="A973" s="8" t="s">
        <v>32</v>
      </c>
      <c r="B973" s="4">
        <v>63.29</v>
      </c>
      <c r="N973" t="s">
        <v>188</v>
      </c>
      <c r="O973">
        <v>64.891363636363636</v>
      </c>
    </row>
    <row r="974" spans="1:15" x14ac:dyDescent="0.35">
      <c r="A974" s="8" t="s">
        <v>819</v>
      </c>
      <c r="B974" s="4">
        <v>63.23</v>
      </c>
      <c r="N974" t="s">
        <v>248</v>
      </c>
      <c r="O974">
        <v>64.198181818181823</v>
      </c>
    </row>
    <row r="975" spans="1:15" x14ac:dyDescent="0.35">
      <c r="A975" s="8" t="s">
        <v>106</v>
      </c>
      <c r="B975" s="4">
        <v>63.14</v>
      </c>
      <c r="N975" t="s">
        <v>106</v>
      </c>
      <c r="O975">
        <v>64.155454545454532</v>
      </c>
    </row>
    <row r="976" spans="1:15" x14ac:dyDescent="0.35">
      <c r="A976" s="7" t="s">
        <v>833</v>
      </c>
      <c r="B976" s="3">
        <v>61.91</v>
      </c>
      <c r="N976" t="s">
        <v>113</v>
      </c>
      <c r="O976">
        <v>62.841363636363639</v>
      </c>
    </row>
    <row r="977" spans="1:15" x14ac:dyDescent="0.35">
      <c r="A977" s="7" t="s">
        <v>113</v>
      </c>
      <c r="B977" s="3">
        <v>61.42</v>
      </c>
      <c r="N977" t="s">
        <v>316</v>
      </c>
      <c r="O977">
        <v>62.82181818181818</v>
      </c>
    </row>
    <row r="978" spans="1:15" x14ac:dyDescent="0.35">
      <c r="A978" s="7" t="s">
        <v>298</v>
      </c>
      <c r="B978" s="3">
        <v>61.39</v>
      </c>
      <c r="N978" t="s">
        <v>819</v>
      </c>
      <c r="O978">
        <v>62.576363636363631</v>
      </c>
    </row>
    <row r="979" spans="1:15" x14ac:dyDescent="0.35">
      <c r="A979" s="8" t="s">
        <v>824</v>
      </c>
      <c r="B979" s="4">
        <v>60.79</v>
      </c>
      <c r="N979" t="s">
        <v>109</v>
      </c>
      <c r="O979">
        <v>61.977727272727272</v>
      </c>
    </row>
    <row r="980" spans="1:15" x14ac:dyDescent="0.35">
      <c r="A980" s="7" t="s">
        <v>109</v>
      </c>
      <c r="B980" s="3">
        <v>60.32</v>
      </c>
      <c r="N980" t="s">
        <v>824</v>
      </c>
      <c r="O980">
        <v>60.893636363636354</v>
      </c>
    </row>
    <row r="981" spans="1:15" x14ac:dyDescent="0.35">
      <c r="A981" s="7" t="s">
        <v>262</v>
      </c>
      <c r="B981" s="3">
        <v>60.11</v>
      </c>
      <c r="N981" t="s">
        <v>336</v>
      </c>
      <c r="O981">
        <v>60.749545454545448</v>
      </c>
    </row>
    <row r="982" spans="1:15" x14ac:dyDescent="0.35">
      <c r="A982" s="7" t="s">
        <v>45</v>
      </c>
      <c r="B982" s="3">
        <v>59.77</v>
      </c>
      <c r="N982" t="s">
        <v>833</v>
      </c>
      <c r="O982">
        <v>60.62863636363636</v>
      </c>
    </row>
    <row r="983" spans="1:15" x14ac:dyDescent="0.35">
      <c r="A983" s="8" t="s">
        <v>806</v>
      </c>
      <c r="B983" s="4">
        <v>59.51</v>
      </c>
      <c r="N983" t="s">
        <v>340</v>
      </c>
      <c r="O983">
        <v>60.515909090909098</v>
      </c>
    </row>
    <row r="984" spans="1:15" x14ac:dyDescent="0.35">
      <c r="A984" s="7" t="s">
        <v>459</v>
      </c>
      <c r="B984" s="3">
        <v>58.16</v>
      </c>
      <c r="N984" t="s">
        <v>840</v>
      </c>
      <c r="O984">
        <v>59.886818181818178</v>
      </c>
    </row>
    <row r="985" spans="1:15" x14ac:dyDescent="0.35">
      <c r="A985" s="7" t="s">
        <v>447</v>
      </c>
      <c r="B985" s="3">
        <v>57.22</v>
      </c>
      <c r="N985" t="s">
        <v>185</v>
      </c>
      <c r="O985">
        <v>58.698636363636339</v>
      </c>
    </row>
    <row r="986" spans="1:15" x14ac:dyDescent="0.35">
      <c r="A986" s="7" t="s">
        <v>336</v>
      </c>
      <c r="B986" s="3">
        <v>57.08</v>
      </c>
      <c r="N986" t="s">
        <v>806</v>
      </c>
      <c r="O986">
        <v>58.241363636363644</v>
      </c>
    </row>
    <row r="987" spans="1:15" x14ac:dyDescent="0.35">
      <c r="A987" s="8" t="s">
        <v>840</v>
      </c>
      <c r="B987" s="4">
        <v>56.98</v>
      </c>
      <c r="N987" t="s">
        <v>628</v>
      </c>
      <c r="O987">
        <v>57.148181818181826</v>
      </c>
    </row>
    <row r="988" spans="1:15" x14ac:dyDescent="0.35">
      <c r="A988" s="7" t="s">
        <v>340</v>
      </c>
      <c r="B988" s="3">
        <v>56.97</v>
      </c>
      <c r="N988" t="s">
        <v>262</v>
      </c>
      <c r="O988">
        <v>56.840454545454548</v>
      </c>
    </row>
    <row r="989" spans="1:15" x14ac:dyDescent="0.35">
      <c r="A989" s="7" t="s">
        <v>248</v>
      </c>
      <c r="B989" s="3">
        <v>56.67</v>
      </c>
      <c r="N989" t="s">
        <v>32</v>
      </c>
      <c r="O989">
        <v>55.337727272727278</v>
      </c>
    </row>
    <row r="990" spans="1:15" x14ac:dyDescent="0.35">
      <c r="A990" s="8" t="s">
        <v>192</v>
      </c>
      <c r="B990" s="4">
        <v>55.8</v>
      </c>
      <c r="N990" t="s">
        <v>192</v>
      </c>
      <c r="O990">
        <v>55.295909090909092</v>
      </c>
    </row>
    <row r="991" spans="1:15" x14ac:dyDescent="0.35">
      <c r="A991" s="8" t="s">
        <v>662</v>
      </c>
      <c r="B991" s="4">
        <v>55.8</v>
      </c>
      <c r="N991" t="s">
        <v>662</v>
      </c>
      <c r="O991">
        <v>54.993636363636362</v>
      </c>
    </row>
    <row r="992" spans="1:15" x14ac:dyDescent="0.35">
      <c r="A992" s="8" t="s">
        <v>628</v>
      </c>
      <c r="B992" s="4">
        <v>55.53</v>
      </c>
      <c r="N992" t="s">
        <v>45</v>
      </c>
      <c r="O992">
        <v>54.104545454545452</v>
      </c>
    </row>
    <row r="993" spans="1:15" x14ac:dyDescent="0.35">
      <c r="A993" s="8" t="s">
        <v>78</v>
      </c>
      <c r="B993" s="4">
        <v>54.63</v>
      </c>
      <c r="N993" t="s">
        <v>78</v>
      </c>
      <c r="O993">
        <v>53.899545454545454</v>
      </c>
    </row>
    <row r="994" spans="1:15" x14ac:dyDescent="0.35">
      <c r="A994" s="8" t="s">
        <v>834</v>
      </c>
      <c r="B994" s="4">
        <v>53.76</v>
      </c>
      <c r="N994" t="s">
        <v>107</v>
      </c>
      <c r="O994">
        <v>52.959090909090904</v>
      </c>
    </row>
    <row r="995" spans="1:15" x14ac:dyDescent="0.35">
      <c r="A995" s="8" t="s">
        <v>119</v>
      </c>
      <c r="B995" s="4">
        <v>53.75</v>
      </c>
      <c r="N995" t="s">
        <v>834</v>
      </c>
      <c r="O995">
        <v>52.114090909090898</v>
      </c>
    </row>
    <row r="996" spans="1:15" x14ac:dyDescent="0.35">
      <c r="A996" s="7" t="s">
        <v>67</v>
      </c>
      <c r="B996" s="3">
        <v>53.37</v>
      </c>
      <c r="N996" t="s">
        <v>320</v>
      </c>
      <c r="O996">
        <v>52.101818181818182</v>
      </c>
    </row>
    <row r="997" spans="1:15" x14ac:dyDescent="0.35">
      <c r="A997" s="8" t="s">
        <v>185</v>
      </c>
      <c r="B997" s="4">
        <v>52.84</v>
      </c>
      <c r="N997" t="s">
        <v>447</v>
      </c>
      <c r="O997">
        <v>51.404545454545456</v>
      </c>
    </row>
    <row r="998" spans="1:15" x14ac:dyDescent="0.35">
      <c r="A998" s="8" t="s">
        <v>178</v>
      </c>
      <c r="B998" s="4">
        <v>52.39</v>
      </c>
      <c r="N998" t="s">
        <v>119</v>
      </c>
      <c r="O998">
        <v>51.18772727272728</v>
      </c>
    </row>
    <row r="999" spans="1:15" x14ac:dyDescent="0.35">
      <c r="A999" s="7" t="s">
        <v>613</v>
      </c>
      <c r="B999" s="3">
        <v>51.49</v>
      </c>
      <c r="N999" t="s">
        <v>67</v>
      </c>
      <c r="O999">
        <v>50.834999999999994</v>
      </c>
    </row>
    <row r="1000" spans="1:15" x14ac:dyDescent="0.35">
      <c r="A1000" s="7" t="s">
        <v>107</v>
      </c>
      <c r="B1000" s="3">
        <v>51.24</v>
      </c>
      <c r="N1000" t="s">
        <v>178</v>
      </c>
      <c r="O1000">
        <v>49.725909090909106</v>
      </c>
    </row>
    <row r="1001" spans="1:15" x14ac:dyDescent="0.35">
      <c r="A1001" s="8" t="s">
        <v>346</v>
      </c>
      <c r="B1001" s="4">
        <v>48.85</v>
      </c>
      <c r="N1001" t="s">
        <v>651</v>
      </c>
      <c r="O1001">
        <v>48.329545454545453</v>
      </c>
    </row>
    <row r="1002" spans="1:15" x14ac:dyDescent="0.35">
      <c r="A1002" s="7" t="s">
        <v>306</v>
      </c>
      <c r="B1002" s="3">
        <v>48.04</v>
      </c>
      <c r="N1002" t="s">
        <v>470</v>
      </c>
      <c r="O1002">
        <v>48.326818181818176</v>
      </c>
    </row>
    <row r="1003" spans="1:15" x14ac:dyDescent="0.35">
      <c r="A1003" s="7" t="s">
        <v>877</v>
      </c>
      <c r="B1003" s="3">
        <v>47.91</v>
      </c>
      <c r="N1003" t="s">
        <v>613</v>
      </c>
      <c r="O1003">
        <v>48.159545454545444</v>
      </c>
    </row>
    <row r="1004" spans="1:15" x14ac:dyDescent="0.35">
      <c r="A1004" s="7" t="s">
        <v>802</v>
      </c>
      <c r="B1004" s="3">
        <v>47.87</v>
      </c>
      <c r="N1004" t="s">
        <v>346</v>
      </c>
      <c r="O1004">
        <v>48.072272727272711</v>
      </c>
    </row>
    <row r="1005" spans="1:15" x14ac:dyDescent="0.35">
      <c r="A1005" s="7" t="s">
        <v>535</v>
      </c>
      <c r="B1005" s="3">
        <v>47.2</v>
      </c>
      <c r="N1005" t="s">
        <v>877</v>
      </c>
      <c r="O1005">
        <v>47.854090909090907</v>
      </c>
    </row>
    <row r="1006" spans="1:15" x14ac:dyDescent="0.35">
      <c r="A1006" s="7" t="s">
        <v>689</v>
      </c>
      <c r="B1006" s="3">
        <v>47.2</v>
      </c>
      <c r="N1006" t="s">
        <v>802</v>
      </c>
      <c r="O1006">
        <v>47.563181818181825</v>
      </c>
    </row>
    <row r="1007" spans="1:15" x14ac:dyDescent="0.35">
      <c r="A1007" s="7" t="s">
        <v>842</v>
      </c>
      <c r="B1007" s="3">
        <v>46.4</v>
      </c>
      <c r="N1007" t="s">
        <v>535</v>
      </c>
      <c r="O1007">
        <v>46.642272727272733</v>
      </c>
    </row>
    <row r="1008" spans="1:15" x14ac:dyDescent="0.35">
      <c r="A1008" s="8" t="s">
        <v>444</v>
      </c>
      <c r="B1008" s="4">
        <v>46.26</v>
      </c>
      <c r="N1008" t="s">
        <v>689</v>
      </c>
      <c r="O1008">
        <v>46.642272727272733</v>
      </c>
    </row>
    <row r="1009" spans="1:15" x14ac:dyDescent="0.35">
      <c r="A1009" s="7" t="s">
        <v>796</v>
      </c>
      <c r="B1009" s="3">
        <v>45.38</v>
      </c>
      <c r="N1009" t="s">
        <v>842</v>
      </c>
      <c r="O1009">
        <v>44.891818181818174</v>
      </c>
    </row>
    <row r="1010" spans="1:15" x14ac:dyDescent="0.35">
      <c r="A1010" s="7" t="s">
        <v>651</v>
      </c>
      <c r="B1010" s="3">
        <v>45.25</v>
      </c>
      <c r="N1010" t="s">
        <v>859</v>
      </c>
      <c r="O1010">
        <v>44.579545454545446</v>
      </c>
    </row>
    <row r="1011" spans="1:15" x14ac:dyDescent="0.35">
      <c r="A1011" s="8" t="s">
        <v>608</v>
      </c>
      <c r="B1011" s="4">
        <v>45.24</v>
      </c>
      <c r="N1011" t="s">
        <v>444</v>
      </c>
      <c r="O1011">
        <v>44.530454545454539</v>
      </c>
    </row>
    <row r="1012" spans="1:15" x14ac:dyDescent="0.35">
      <c r="A1012" s="8" t="s">
        <v>859</v>
      </c>
      <c r="B1012" s="4">
        <v>45.14</v>
      </c>
      <c r="N1012" t="s">
        <v>796</v>
      </c>
      <c r="O1012">
        <v>44.332727272727276</v>
      </c>
    </row>
    <row r="1013" spans="1:15" x14ac:dyDescent="0.35">
      <c r="A1013" s="8" t="s">
        <v>174</v>
      </c>
      <c r="B1013" s="4">
        <v>45.13</v>
      </c>
      <c r="N1013" t="s">
        <v>306</v>
      </c>
      <c r="O1013">
        <v>44.126363636363635</v>
      </c>
    </row>
    <row r="1014" spans="1:15" x14ac:dyDescent="0.35">
      <c r="A1014" s="8" t="s">
        <v>667</v>
      </c>
      <c r="B1014" s="4">
        <v>44.69</v>
      </c>
      <c r="N1014" t="s">
        <v>591</v>
      </c>
      <c r="O1014">
        <v>44.015909090909098</v>
      </c>
    </row>
    <row r="1015" spans="1:15" x14ac:dyDescent="0.35">
      <c r="A1015" s="8" t="s">
        <v>588</v>
      </c>
      <c r="B1015" s="4">
        <v>43.67</v>
      </c>
      <c r="N1015" t="s">
        <v>696</v>
      </c>
      <c r="O1015">
        <v>43.95454545454546</v>
      </c>
    </row>
    <row r="1016" spans="1:15" x14ac:dyDescent="0.35">
      <c r="A1016" s="8" t="s">
        <v>696</v>
      </c>
      <c r="B1016" s="4">
        <v>43.63</v>
      </c>
      <c r="N1016" t="s">
        <v>667</v>
      </c>
      <c r="O1016">
        <v>43.720909090909096</v>
      </c>
    </row>
    <row r="1017" spans="1:15" x14ac:dyDescent="0.35">
      <c r="A1017" s="7" t="s">
        <v>79</v>
      </c>
      <c r="B1017" s="3">
        <v>43.46</v>
      </c>
      <c r="N1017" t="s">
        <v>868</v>
      </c>
      <c r="O1017">
        <v>43.445</v>
      </c>
    </row>
    <row r="1018" spans="1:15" x14ac:dyDescent="0.35">
      <c r="A1018" s="8" t="s">
        <v>407</v>
      </c>
      <c r="B1018" s="4">
        <v>43.3</v>
      </c>
      <c r="N1018" t="s">
        <v>79</v>
      </c>
      <c r="O1018">
        <v>43.221818181818193</v>
      </c>
    </row>
    <row r="1019" spans="1:15" x14ac:dyDescent="0.35">
      <c r="A1019" s="7" t="s">
        <v>329</v>
      </c>
      <c r="B1019" s="3">
        <v>43.17</v>
      </c>
      <c r="N1019" t="s">
        <v>174</v>
      </c>
      <c r="O1019">
        <v>42.55681818181818</v>
      </c>
    </row>
    <row r="1020" spans="1:15" x14ac:dyDescent="0.35">
      <c r="A1020" s="7" t="s">
        <v>642</v>
      </c>
      <c r="B1020" s="3">
        <v>42.36</v>
      </c>
      <c r="N1020" t="s">
        <v>153</v>
      </c>
      <c r="O1020">
        <v>42.468636363636371</v>
      </c>
    </row>
    <row r="1021" spans="1:15" x14ac:dyDescent="0.35">
      <c r="A1021" s="7" t="s">
        <v>455</v>
      </c>
      <c r="B1021" s="3">
        <v>42.07</v>
      </c>
      <c r="N1021" t="s">
        <v>329</v>
      </c>
      <c r="O1021">
        <v>42.085454545454553</v>
      </c>
    </row>
    <row r="1022" spans="1:15" x14ac:dyDescent="0.35">
      <c r="A1022" s="8" t="s">
        <v>860</v>
      </c>
      <c r="B1022" s="4">
        <v>41.95</v>
      </c>
      <c r="N1022" t="s">
        <v>670</v>
      </c>
      <c r="O1022">
        <v>41.443636363636365</v>
      </c>
    </row>
    <row r="1023" spans="1:15" x14ac:dyDescent="0.35">
      <c r="A1023" s="7" t="s">
        <v>593</v>
      </c>
      <c r="B1023" s="3">
        <v>41.78</v>
      </c>
      <c r="N1023" t="s">
        <v>407</v>
      </c>
      <c r="O1023">
        <v>41.326363636363638</v>
      </c>
    </row>
    <row r="1024" spans="1:15" x14ac:dyDescent="0.35">
      <c r="A1024" s="7" t="s">
        <v>876</v>
      </c>
      <c r="B1024" s="3">
        <v>41.24</v>
      </c>
      <c r="N1024" t="s">
        <v>860</v>
      </c>
      <c r="O1024">
        <v>41.326363636363631</v>
      </c>
    </row>
    <row r="1025" spans="1:15" x14ac:dyDescent="0.35">
      <c r="A1025" s="7" t="s">
        <v>33</v>
      </c>
      <c r="B1025" s="3">
        <v>41.13</v>
      </c>
      <c r="N1025" t="s">
        <v>365</v>
      </c>
      <c r="O1025">
        <v>40.641363636363636</v>
      </c>
    </row>
    <row r="1026" spans="1:15" x14ac:dyDescent="0.35">
      <c r="A1026" s="8" t="s">
        <v>670</v>
      </c>
      <c r="B1026" s="4">
        <v>41.11</v>
      </c>
      <c r="N1026" t="s">
        <v>455</v>
      </c>
      <c r="O1026">
        <v>40.51409090909091</v>
      </c>
    </row>
    <row r="1027" spans="1:15" x14ac:dyDescent="0.35">
      <c r="A1027" s="7" t="s">
        <v>153</v>
      </c>
      <c r="B1027" s="3">
        <v>40.85</v>
      </c>
      <c r="N1027" t="s">
        <v>157</v>
      </c>
      <c r="O1027">
        <v>40.465000000000003</v>
      </c>
    </row>
    <row r="1028" spans="1:15" x14ac:dyDescent="0.35">
      <c r="A1028" s="8" t="s">
        <v>699</v>
      </c>
      <c r="B1028" s="4">
        <v>40.85</v>
      </c>
      <c r="N1028" t="s">
        <v>608</v>
      </c>
      <c r="O1028">
        <v>40.276363636363641</v>
      </c>
    </row>
    <row r="1029" spans="1:15" x14ac:dyDescent="0.35">
      <c r="A1029" s="8" t="s">
        <v>815</v>
      </c>
      <c r="B1029" s="4">
        <v>40.200000000000003</v>
      </c>
      <c r="N1029" t="s">
        <v>605</v>
      </c>
      <c r="O1029">
        <v>40.272272727272735</v>
      </c>
    </row>
    <row r="1030" spans="1:15" x14ac:dyDescent="0.35">
      <c r="A1030" s="8" t="s">
        <v>133</v>
      </c>
      <c r="B1030" s="4">
        <v>39.700000000000003</v>
      </c>
      <c r="N1030" t="s">
        <v>815</v>
      </c>
      <c r="O1030">
        <v>39.38818181818182</v>
      </c>
    </row>
    <row r="1031" spans="1:15" x14ac:dyDescent="0.35">
      <c r="A1031" s="7" t="s">
        <v>837</v>
      </c>
      <c r="B1031" s="3">
        <v>39.44</v>
      </c>
      <c r="N1031" t="s">
        <v>876</v>
      </c>
      <c r="O1031">
        <v>39.240909090909092</v>
      </c>
    </row>
    <row r="1032" spans="1:15" x14ac:dyDescent="0.35">
      <c r="A1032" s="8" t="s">
        <v>600</v>
      </c>
      <c r="B1032" s="4">
        <v>39.409999999999997</v>
      </c>
      <c r="N1032" t="s">
        <v>642</v>
      </c>
      <c r="O1032">
        <v>38.935000000000009</v>
      </c>
    </row>
    <row r="1033" spans="1:15" x14ac:dyDescent="0.35">
      <c r="A1033" s="7" t="s">
        <v>320</v>
      </c>
      <c r="B1033" s="3">
        <v>39.28</v>
      </c>
      <c r="N1033" t="s">
        <v>699</v>
      </c>
      <c r="O1033">
        <v>38.867727272727272</v>
      </c>
    </row>
    <row r="1034" spans="1:15" x14ac:dyDescent="0.35">
      <c r="A1034" s="8" t="s">
        <v>690</v>
      </c>
      <c r="B1034" s="4">
        <v>38.770000000000003</v>
      </c>
      <c r="N1034" t="s">
        <v>837</v>
      </c>
      <c r="O1034">
        <v>38.724090909090904</v>
      </c>
    </row>
    <row r="1035" spans="1:15" x14ac:dyDescent="0.35">
      <c r="A1035" s="7" t="s">
        <v>868</v>
      </c>
      <c r="B1035" s="3">
        <v>38.619999999999997</v>
      </c>
      <c r="N1035" t="s">
        <v>690</v>
      </c>
      <c r="O1035">
        <v>38.560454545454547</v>
      </c>
    </row>
    <row r="1036" spans="1:15" x14ac:dyDescent="0.35">
      <c r="A1036" s="7" t="s">
        <v>734</v>
      </c>
      <c r="B1036" s="3">
        <v>38.29</v>
      </c>
      <c r="N1036" t="s">
        <v>133</v>
      </c>
      <c r="O1036">
        <v>38.483636363636371</v>
      </c>
    </row>
    <row r="1037" spans="1:15" x14ac:dyDescent="0.35">
      <c r="A1037" s="7" t="s">
        <v>43</v>
      </c>
      <c r="B1037" s="3">
        <v>38.15</v>
      </c>
      <c r="N1037" t="s">
        <v>600</v>
      </c>
      <c r="O1037">
        <v>38.035454545454542</v>
      </c>
    </row>
    <row r="1038" spans="1:15" x14ac:dyDescent="0.35">
      <c r="A1038" s="8" t="s">
        <v>470</v>
      </c>
      <c r="B1038" s="4">
        <v>38.1</v>
      </c>
      <c r="N1038" t="s">
        <v>588</v>
      </c>
      <c r="O1038">
        <v>38.020454545454541</v>
      </c>
    </row>
    <row r="1039" spans="1:15" x14ac:dyDescent="0.35">
      <c r="A1039" s="7" t="s">
        <v>872</v>
      </c>
      <c r="B1039" s="3">
        <v>37.75</v>
      </c>
      <c r="N1039" t="s">
        <v>734</v>
      </c>
      <c r="O1039">
        <v>37.342727272727281</v>
      </c>
    </row>
    <row r="1040" spans="1:15" x14ac:dyDescent="0.35">
      <c r="A1040" s="8" t="s">
        <v>365</v>
      </c>
      <c r="B1040" s="4">
        <v>36.99</v>
      </c>
      <c r="N1040" t="s">
        <v>872</v>
      </c>
      <c r="O1040">
        <v>37.044090909090905</v>
      </c>
    </row>
    <row r="1041" spans="1:15" x14ac:dyDescent="0.35">
      <c r="A1041" s="8" t="s">
        <v>620</v>
      </c>
      <c r="B1041" s="4">
        <v>36.729999999999997</v>
      </c>
      <c r="N1041" t="s">
        <v>33</v>
      </c>
      <c r="O1041">
        <v>36.615454545454547</v>
      </c>
    </row>
    <row r="1042" spans="1:15" x14ac:dyDescent="0.35">
      <c r="A1042" s="7" t="s">
        <v>151</v>
      </c>
      <c r="B1042" s="3">
        <v>36.549999999999997</v>
      </c>
      <c r="N1042" t="s">
        <v>43</v>
      </c>
      <c r="O1042">
        <v>35.61090909090909</v>
      </c>
    </row>
    <row r="1043" spans="1:15" x14ac:dyDescent="0.35">
      <c r="A1043" s="7" t="s">
        <v>880</v>
      </c>
      <c r="B1043" s="3">
        <v>36.06</v>
      </c>
      <c r="N1043" t="s">
        <v>880</v>
      </c>
      <c r="O1043">
        <v>35.49818181818182</v>
      </c>
    </row>
    <row r="1044" spans="1:15" x14ac:dyDescent="0.35">
      <c r="A1044" s="8" t="s">
        <v>557</v>
      </c>
      <c r="B1044" s="4">
        <v>35.67</v>
      </c>
      <c r="N1044" t="s">
        <v>144</v>
      </c>
      <c r="O1044">
        <v>35.324999999999996</v>
      </c>
    </row>
    <row r="1045" spans="1:15" x14ac:dyDescent="0.35">
      <c r="A1045" s="7" t="s">
        <v>457</v>
      </c>
      <c r="B1045" s="3">
        <v>35.54</v>
      </c>
      <c r="N1045" t="s">
        <v>618</v>
      </c>
      <c r="O1045">
        <v>34.624545454545462</v>
      </c>
    </row>
    <row r="1046" spans="1:15" x14ac:dyDescent="0.35">
      <c r="A1046" s="7" t="s">
        <v>144</v>
      </c>
      <c r="B1046" s="3">
        <v>35.450000000000003</v>
      </c>
      <c r="N1046" t="s">
        <v>682</v>
      </c>
      <c r="O1046">
        <v>34.540909090909089</v>
      </c>
    </row>
    <row r="1047" spans="1:15" x14ac:dyDescent="0.35">
      <c r="A1047" s="7" t="s">
        <v>605</v>
      </c>
      <c r="B1047" s="3">
        <v>35.08</v>
      </c>
      <c r="N1047" t="s">
        <v>557</v>
      </c>
      <c r="O1047">
        <v>34.53</v>
      </c>
    </row>
    <row r="1048" spans="1:15" x14ac:dyDescent="0.35">
      <c r="A1048" s="7" t="s">
        <v>195</v>
      </c>
      <c r="B1048" s="3">
        <v>34.74</v>
      </c>
      <c r="N1048" t="s">
        <v>683</v>
      </c>
      <c r="O1048">
        <v>34.445000000000007</v>
      </c>
    </row>
    <row r="1049" spans="1:15" x14ac:dyDescent="0.35">
      <c r="A1049" s="7" t="s">
        <v>849</v>
      </c>
      <c r="B1049" s="3">
        <v>34.4</v>
      </c>
      <c r="N1049" t="s">
        <v>620</v>
      </c>
      <c r="O1049">
        <v>34.221363636363641</v>
      </c>
    </row>
    <row r="1050" spans="1:15" x14ac:dyDescent="0.35">
      <c r="A1050" s="7" t="s">
        <v>421</v>
      </c>
      <c r="B1050" s="3">
        <v>34.36</v>
      </c>
      <c r="N1050" t="s">
        <v>195</v>
      </c>
      <c r="O1050">
        <v>33.895909090909093</v>
      </c>
    </row>
    <row r="1051" spans="1:15" x14ac:dyDescent="0.35">
      <c r="A1051" s="7" t="s">
        <v>5</v>
      </c>
      <c r="B1051" s="3">
        <v>34.29</v>
      </c>
      <c r="N1051" t="s">
        <v>421</v>
      </c>
      <c r="O1051">
        <v>33.827727272727266</v>
      </c>
    </row>
    <row r="1052" spans="1:15" x14ac:dyDescent="0.35">
      <c r="A1052" s="7" t="s">
        <v>682</v>
      </c>
      <c r="B1052" s="3">
        <v>34.18</v>
      </c>
      <c r="N1052" t="s">
        <v>849</v>
      </c>
      <c r="O1052">
        <v>33.757272727272721</v>
      </c>
    </row>
    <row r="1053" spans="1:15" x14ac:dyDescent="0.35">
      <c r="A1053" s="7" t="s">
        <v>865</v>
      </c>
      <c r="B1053" s="3">
        <v>34.15</v>
      </c>
      <c r="N1053" t="s">
        <v>865</v>
      </c>
      <c r="O1053">
        <v>32.850909090909084</v>
      </c>
    </row>
    <row r="1054" spans="1:15" x14ac:dyDescent="0.35">
      <c r="A1054" s="8" t="s">
        <v>683</v>
      </c>
      <c r="B1054" s="4">
        <v>34.08</v>
      </c>
      <c r="N1054" t="s">
        <v>686</v>
      </c>
      <c r="O1054">
        <v>32.151818181818186</v>
      </c>
    </row>
    <row r="1055" spans="1:15" x14ac:dyDescent="0.35">
      <c r="A1055" s="8" t="s">
        <v>814</v>
      </c>
      <c r="B1055" s="4">
        <v>33.46</v>
      </c>
      <c r="N1055" t="s">
        <v>587</v>
      </c>
      <c r="O1055">
        <v>32.15</v>
      </c>
    </row>
    <row r="1056" spans="1:15" x14ac:dyDescent="0.35">
      <c r="A1056" s="8" t="s">
        <v>335</v>
      </c>
      <c r="B1056" s="4">
        <v>33.369999999999997</v>
      </c>
      <c r="N1056" t="s">
        <v>68</v>
      </c>
      <c r="O1056">
        <v>32.048636363636362</v>
      </c>
    </row>
    <row r="1057" spans="1:15" x14ac:dyDescent="0.35">
      <c r="A1057" s="7" t="s">
        <v>100</v>
      </c>
      <c r="B1057" s="3">
        <v>33.18</v>
      </c>
      <c r="N1057" t="s">
        <v>853</v>
      </c>
      <c r="O1057">
        <v>32.04454545454545</v>
      </c>
    </row>
    <row r="1058" spans="1:15" x14ac:dyDescent="0.35">
      <c r="A1058" s="7" t="s">
        <v>845</v>
      </c>
      <c r="B1058" s="3">
        <v>32.4</v>
      </c>
      <c r="N1058" t="s">
        <v>406</v>
      </c>
      <c r="O1058">
        <v>32.039999999999992</v>
      </c>
    </row>
    <row r="1059" spans="1:15" x14ac:dyDescent="0.35">
      <c r="A1059" s="7" t="s">
        <v>587</v>
      </c>
      <c r="B1059" s="3">
        <v>32.19</v>
      </c>
      <c r="N1059" t="s">
        <v>100</v>
      </c>
      <c r="O1059">
        <v>31.517727272727267</v>
      </c>
    </row>
    <row r="1060" spans="1:15" x14ac:dyDescent="0.35">
      <c r="A1060" s="8" t="s">
        <v>510</v>
      </c>
      <c r="B1060" s="4">
        <v>32.159999999999997</v>
      </c>
      <c r="N1060" t="s">
        <v>333</v>
      </c>
      <c r="O1060">
        <v>31.456363636363641</v>
      </c>
    </row>
    <row r="1061" spans="1:15" x14ac:dyDescent="0.35">
      <c r="A1061" s="8" t="s">
        <v>406</v>
      </c>
      <c r="B1061" s="4">
        <v>32.04</v>
      </c>
      <c r="N1061" t="s">
        <v>335</v>
      </c>
      <c r="O1061">
        <v>31.425909090909091</v>
      </c>
    </row>
    <row r="1062" spans="1:15" x14ac:dyDescent="0.35">
      <c r="A1062" s="8" t="s">
        <v>333</v>
      </c>
      <c r="B1062" s="4">
        <v>31.61</v>
      </c>
      <c r="N1062" t="s">
        <v>814</v>
      </c>
      <c r="O1062">
        <v>31.253181818181819</v>
      </c>
    </row>
    <row r="1063" spans="1:15" x14ac:dyDescent="0.35">
      <c r="A1063" s="8" t="s">
        <v>686</v>
      </c>
      <c r="B1063" s="4">
        <v>31.38</v>
      </c>
      <c r="N1063" t="s">
        <v>845</v>
      </c>
      <c r="O1063">
        <v>31.209090909090904</v>
      </c>
    </row>
    <row r="1064" spans="1:15" x14ac:dyDescent="0.35">
      <c r="A1064" s="7" t="s">
        <v>169</v>
      </c>
      <c r="B1064" s="3">
        <v>30.73</v>
      </c>
      <c r="N1064" t="s">
        <v>510</v>
      </c>
      <c r="O1064">
        <v>31.098636363636356</v>
      </c>
    </row>
    <row r="1065" spans="1:15" x14ac:dyDescent="0.35">
      <c r="A1065" s="8" t="s">
        <v>853</v>
      </c>
      <c r="B1065" s="4">
        <v>30.43</v>
      </c>
      <c r="N1065" t="s">
        <v>64</v>
      </c>
      <c r="O1065">
        <v>30.645909090909093</v>
      </c>
    </row>
    <row r="1066" spans="1:15" x14ac:dyDescent="0.35">
      <c r="A1066" s="8" t="s">
        <v>68</v>
      </c>
      <c r="B1066" s="4">
        <v>30.4</v>
      </c>
      <c r="N1066" t="s">
        <v>237</v>
      </c>
      <c r="O1066">
        <v>30.507727272727276</v>
      </c>
    </row>
    <row r="1067" spans="1:15" x14ac:dyDescent="0.35">
      <c r="A1067" s="8" t="s">
        <v>794</v>
      </c>
      <c r="B1067" s="4">
        <v>29.97</v>
      </c>
      <c r="N1067" t="s">
        <v>794</v>
      </c>
      <c r="O1067">
        <v>29.686363636363637</v>
      </c>
    </row>
    <row r="1068" spans="1:15" x14ac:dyDescent="0.35">
      <c r="A1068" s="8" t="s">
        <v>537</v>
      </c>
      <c r="B1068" s="4">
        <v>29.72</v>
      </c>
      <c r="N1068" t="s">
        <v>469</v>
      </c>
      <c r="O1068">
        <v>29.369545454545456</v>
      </c>
    </row>
    <row r="1069" spans="1:15" x14ac:dyDescent="0.35">
      <c r="A1069" s="7" t="s">
        <v>245</v>
      </c>
      <c r="B1069" s="3">
        <v>29.62</v>
      </c>
      <c r="N1069" t="s">
        <v>177</v>
      </c>
      <c r="O1069">
        <v>28.758636363636366</v>
      </c>
    </row>
    <row r="1070" spans="1:15" x14ac:dyDescent="0.35">
      <c r="A1070" s="8" t="s">
        <v>64</v>
      </c>
      <c r="B1070" s="4">
        <v>29.41</v>
      </c>
      <c r="N1070" t="s">
        <v>245</v>
      </c>
      <c r="O1070">
        <v>28.564090909090911</v>
      </c>
    </row>
    <row r="1071" spans="1:15" x14ac:dyDescent="0.35">
      <c r="A1071" s="8" t="s">
        <v>49</v>
      </c>
      <c r="B1071" s="4">
        <v>29.09</v>
      </c>
      <c r="N1071" t="s">
        <v>800</v>
      </c>
      <c r="O1071">
        <v>28.465454545454545</v>
      </c>
    </row>
    <row r="1072" spans="1:15" x14ac:dyDescent="0.35">
      <c r="A1072" s="7" t="s">
        <v>727</v>
      </c>
      <c r="B1072" s="3">
        <v>28.99</v>
      </c>
      <c r="N1072" t="s">
        <v>727</v>
      </c>
      <c r="O1072">
        <v>28.373181818181816</v>
      </c>
    </row>
    <row r="1073" spans="1:15" x14ac:dyDescent="0.35">
      <c r="A1073" s="7" t="s">
        <v>177</v>
      </c>
      <c r="B1073" s="3">
        <v>28.92</v>
      </c>
      <c r="N1073" t="s">
        <v>520</v>
      </c>
      <c r="O1073">
        <v>27.820909090909094</v>
      </c>
    </row>
    <row r="1074" spans="1:15" x14ac:dyDescent="0.35">
      <c r="A1074" s="7" t="s">
        <v>330</v>
      </c>
      <c r="B1074" s="3">
        <v>28.67</v>
      </c>
      <c r="N1074" t="s">
        <v>330</v>
      </c>
      <c r="O1074">
        <v>27.799545454545456</v>
      </c>
    </row>
    <row r="1075" spans="1:15" x14ac:dyDescent="0.35">
      <c r="A1075" s="8" t="s">
        <v>52</v>
      </c>
      <c r="B1075" s="4">
        <v>28.65</v>
      </c>
      <c r="N1075" t="s">
        <v>52</v>
      </c>
      <c r="O1075">
        <v>27.612272727272725</v>
      </c>
    </row>
    <row r="1076" spans="1:15" x14ac:dyDescent="0.35">
      <c r="A1076" s="8" t="s">
        <v>800</v>
      </c>
      <c r="B1076" s="4">
        <v>28.57</v>
      </c>
      <c r="N1076" t="s">
        <v>677</v>
      </c>
      <c r="O1076">
        <v>27.383636363636359</v>
      </c>
    </row>
    <row r="1077" spans="1:15" x14ac:dyDescent="0.35">
      <c r="A1077" s="7" t="s">
        <v>237</v>
      </c>
      <c r="B1077" s="3">
        <v>28.51</v>
      </c>
      <c r="N1077" t="s">
        <v>537</v>
      </c>
      <c r="O1077">
        <v>27.16</v>
      </c>
    </row>
    <row r="1078" spans="1:15" x14ac:dyDescent="0.35">
      <c r="A1078" s="8" t="s">
        <v>618</v>
      </c>
      <c r="B1078" s="4">
        <v>27.95</v>
      </c>
      <c r="N1078" t="s">
        <v>49</v>
      </c>
      <c r="O1078">
        <v>27.056363636363638</v>
      </c>
    </row>
    <row r="1079" spans="1:15" x14ac:dyDescent="0.35">
      <c r="A1079" s="8" t="s">
        <v>520</v>
      </c>
      <c r="B1079" s="4">
        <v>27.76</v>
      </c>
      <c r="N1079" t="s">
        <v>151</v>
      </c>
      <c r="O1079">
        <v>26.998636363636361</v>
      </c>
    </row>
    <row r="1080" spans="1:15" x14ac:dyDescent="0.35">
      <c r="A1080" s="8" t="s">
        <v>489</v>
      </c>
      <c r="B1080" s="4">
        <v>27.69</v>
      </c>
      <c r="N1080" t="s">
        <v>489</v>
      </c>
      <c r="O1080">
        <v>26.876363636363635</v>
      </c>
    </row>
    <row r="1081" spans="1:15" x14ac:dyDescent="0.35">
      <c r="A1081" s="7" t="s">
        <v>353</v>
      </c>
      <c r="B1081" s="3">
        <v>27.24</v>
      </c>
      <c r="N1081" t="s">
        <v>881</v>
      </c>
      <c r="O1081">
        <v>26.714090909090906</v>
      </c>
    </row>
    <row r="1082" spans="1:15" x14ac:dyDescent="0.35">
      <c r="A1082" s="8" t="s">
        <v>881</v>
      </c>
      <c r="B1082" s="4">
        <v>27.24</v>
      </c>
      <c r="N1082" t="s">
        <v>169</v>
      </c>
      <c r="O1082">
        <v>26.189999999999998</v>
      </c>
    </row>
    <row r="1083" spans="1:15" x14ac:dyDescent="0.35">
      <c r="A1083" s="7" t="s">
        <v>619</v>
      </c>
      <c r="B1083" s="3">
        <v>27.23</v>
      </c>
      <c r="N1083" t="s">
        <v>353</v>
      </c>
      <c r="O1083">
        <v>26.066818181818181</v>
      </c>
    </row>
    <row r="1084" spans="1:15" x14ac:dyDescent="0.35">
      <c r="A1084" s="8" t="s">
        <v>162</v>
      </c>
      <c r="B1084" s="4">
        <v>26.23</v>
      </c>
      <c r="N1084" t="s">
        <v>619</v>
      </c>
      <c r="O1084">
        <v>25.919545454545457</v>
      </c>
    </row>
    <row r="1085" spans="1:15" x14ac:dyDescent="0.35">
      <c r="A1085" s="8" t="s">
        <v>855</v>
      </c>
      <c r="B1085" s="4">
        <v>26.04</v>
      </c>
      <c r="N1085" t="s">
        <v>852</v>
      </c>
      <c r="O1085">
        <v>25.552727272727282</v>
      </c>
    </row>
    <row r="1086" spans="1:15" x14ac:dyDescent="0.35">
      <c r="A1086" s="7" t="s">
        <v>302</v>
      </c>
      <c r="B1086" s="3">
        <v>25.96</v>
      </c>
      <c r="N1086" t="s">
        <v>854</v>
      </c>
      <c r="O1086">
        <v>25.551363636363636</v>
      </c>
    </row>
    <row r="1087" spans="1:15" x14ac:dyDescent="0.35">
      <c r="A1087" s="8" t="s">
        <v>705</v>
      </c>
      <c r="B1087" s="4">
        <v>25.95</v>
      </c>
      <c r="N1087" t="s">
        <v>855</v>
      </c>
      <c r="O1087">
        <v>25.307727272727266</v>
      </c>
    </row>
    <row r="1088" spans="1:15" x14ac:dyDescent="0.35">
      <c r="A1088" s="8" t="s">
        <v>854</v>
      </c>
      <c r="B1088" s="4">
        <v>25.68</v>
      </c>
      <c r="N1088" t="s">
        <v>116</v>
      </c>
      <c r="O1088">
        <v>25.228636363636362</v>
      </c>
    </row>
    <row r="1089" spans="1:15" x14ac:dyDescent="0.35">
      <c r="A1089" s="7" t="s">
        <v>852</v>
      </c>
      <c r="B1089" s="3">
        <v>25.6</v>
      </c>
      <c r="N1089" t="s">
        <v>718</v>
      </c>
      <c r="O1089">
        <v>25.216363636363635</v>
      </c>
    </row>
    <row r="1090" spans="1:15" x14ac:dyDescent="0.35">
      <c r="A1090" s="8" t="s">
        <v>204</v>
      </c>
      <c r="B1090" s="4">
        <v>25.43</v>
      </c>
      <c r="N1090" t="s">
        <v>493</v>
      </c>
      <c r="O1090">
        <v>25.204545454545453</v>
      </c>
    </row>
    <row r="1091" spans="1:15" x14ac:dyDescent="0.35">
      <c r="A1091" s="8" t="s">
        <v>116</v>
      </c>
      <c r="B1091" s="4">
        <v>25.22</v>
      </c>
      <c r="N1091" t="s">
        <v>705</v>
      </c>
      <c r="O1091">
        <v>25.16272727272727</v>
      </c>
    </row>
    <row r="1092" spans="1:15" x14ac:dyDescent="0.35">
      <c r="A1092" s="7" t="s">
        <v>578</v>
      </c>
      <c r="B1092" s="3">
        <v>25.19</v>
      </c>
      <c r="N1092" t="s">
        <v>217</v>
      </c>
      <c r="O1092">
        <v>25.000909090909094</v>
      </c>
    </row>
    <row r="1093" spans="1:15" x14ac:dyDescent="0.35">
      <c r="A1093" s="7" t="s">
        <v>671</v>
      </c>
      <c r="B1093" s="3">
        <v>24.8</v>
      </c>
      <c r="N1093" t="s">
        <v>162</v>
      </c>
      <c r="O1093">
        <v>24.99909090909091</v>
      </c>
    </row>
    <row r="1094" spans="1:15" x14ac:dyDescent="0.35">
      <c r="A1094" s="7" t="s">
        <v>878</v>
      </c>
      <c r="B1094" s="3">
        <v>24.75</v>
      </c>
      <c r="N1094" t="s">
        <v>639</v>
      </c>
      <c r="O1094">
        <v>24.979090909090914</v>
      </c>
    </row>
    <row r="1095" spans="1:15" x14ac:dyDescent="0.35">
      <c r="A1095" s="7" t="s">
        <v>700</v>
      </c>
      <c r="B1095" s="3">
        <v>24.72</v>
      </c>
      <c r="N1095" t="s">
        <v>578</v>
      </c>
      <c r="O1095">
        <v>24.83818181818182</v>
      </c>
    </row>
    <row r="1096" spans="1:15" x14ac:dyDescent="0.35">
      <c r="A1096" s="7" t="s">
        <v>639</v>
      </c>
      <c r="B1096" s="3">
        <v>24.62</v>
      </c>
      <c r="N1096" t="s">
        <v>204</v>
      </c>
      <c r="O1096">
        <v>24.820909090909087</v>
      </c>
    </row>
    <row r="1097" spans="1:15" x14ac:dyDescent="0.35">
      <c r="A1097" s="8" t="s">
        <v>718</v>
      </c>
      <c r="B1097" s="4">
        <v>24.58</v>
      </c>
      <c r="N1097" t="s">
        <v>700</v>
      </c>
      <c r="O1097">
        <v>24.414090909090916</v>
      </c>
    </row>
    <row r="1098" spans="1:15" x14ac:dyDescent="0.35">
      <c r="A1098" s="8" t="s">
        <v>299</v>
      </c>
      <c r="B1098" s="4">
        <v>24.56</v>
      </c>
      <c r="N1098" t="s">
        <v>168</v>
      </c>
      <c r="O1098">
        <v>24.345454545454551</v>
      </c>
    </row>
    <row r="1099" spans="1:15" x14ac:dyDescent="0.35">
      <c r="A1099" s="8" t="s">
        <v>259</v>
      </c>
      <c r="B1099" s="4">
        <v>24.55</v>
      </c>
      <c r="N1099" t="s">
        <v>864</v>
      </c>
      <c r="O1099">
        <v>24.170454545454547</v>
      </c>
    </row>
    <row r="1100" spans="1:15" x14ac:dyDescent="0.35">
      <c r="A1100" s="8" t="s">
        <v>695</v>
      </c>
      <c r="B1100" s="4">
        <v>24.31</v>
      </c>
      <c r="N1100" t="s">
        <v>878</v>
      </c>
      <c r="O1100">
        <v>24.09363636363636</v>
      </c>
    </row>
    <row r="1101" spans="1:15" x14ac:dyDescent="0.35">
      <c r="A1101" s="7" t="s">
        <v>469</v>
      </c>
      <c r="B1101" s="3">
        <v>24.28</v>
      </c>
      <c r="N1101" t="s">
        <v>695</v>
      </c>
      <c r="O1101">
        <v>23.844090909090905</v>
      </c>
    </row>
    <row r="1102" spans="1:15" x14ac:dyDescent="0.35">
      <c r="A1102" s="8" t="s">
        <v>791</v>
      </c>
      <c r="B1102" s="4">
        <v>23.94</v>
      </c>
      <c r="N1102" t="s">
        <v>259</v>
      </c>
      <c r="O1102">
        <v>23.834999999999994</v>
      </c>
    </row>
    <row r="1103" spans="1:15" x14ac:dyDescent="0.35">
      <c r="A1103" s="7" t="s">
        <v>217</v>
      </c>
      <c r="B1103" s="3">
        <v>23.85</v>
      </c>
      <c r="N1103" t="s">
        <v>671</v>
      </c>
      <c r="O1103">
        <v>23.767272727272722</v>
      </c>
    </row>
    <row r="1104" spans="1:15" x14ac:dyDescent="0.35">
      <c r="A1104" s="7" t="s">
        <v>580</v>
      </c>
      <c r="B1104" s="3">
        <v>23.84</v>
      </c>
      <c r="N1104" t="s">
        <v>791</v>
      </c>
      <c r="O1104">
        <v>23.527727272727269</v>
      </c>
    </row>
    <row r="1105" spans="1:15" x14ac:dyDescent="0.35">
      <c r="A1105" s="8" t="s">
        <v>46</v>
      </c>
      <c r="B1105" s="4">
        <v>23.72</v>
      </c>
      <c r="N1105" t="s">
        <v>46</v>
      </c>
      <c r="O1105">
        <v>23.386363636363637</v>
      </c>
    </row>
    <row r="1106" spans="1:15" x14ac:dyDescent="0.35">
      <c r="A1106" s="7" t="s">
        <v>15</v>
      </c>
      <c r="B1106" s="3">
        <v>23.37</v>
      </c>
      <c r="N1106" t="s">
        <v>383</v>
      </c>
      <c r="O1106">
        <v>23.205909090909092</v>
      </c>
    </row>
    <row r="1107" spans="1:15" x14ac:dyDescent="0.35">
      <c r="A1107" s="8" t="s">
        <v>677</v>
      </c>
      <c r="B1107" s="4">
        <v>23.27</v>
      </c>
      <c r="N1107" t="s">
        <v>857</v>
      </c>
      <c r="O1107">
        <v>22.827272727272732</v>
      </c>
    </row>
    <row r="1108" spans="1:15" x14ac:dyDescent="0.35">
      <c r="A1108" s="8" t="s">
        <v>168</v>
      </c>
      <c r="B1108" s="4">
        <v>23.2</v>
      </c>
      <c r="N1108" t="s">
        <v>378</v>
      </c>
      <c r="O1108">
        <v>22.774090909090908</v>
      </c>
    </row>
    <row r="1109" spans="1:15" x14ac:dyDescent="0.35">
      <c r="A1109" s="7" t="s">
        <v>864</v>
      </c>
      <c r="B1109" s="3">
        <v>23.05</v>
      </c>
      <c r="N1109" t="s">
        <v>29</v>
      </c>
      <c r="O1109">
        <v>22.734090909090909</v>
      </c>
    </row>
    <row r="1110" spans="1:15" x14ac:dyDescent="0.35">
      <c r="A1110" s="8" t="s">
        <v>378</v>
      </c>
      <c r="B1110" s="4">
        <v>22.7</v>
      </c>
      <c r="N1110" t="s">
        <v>580</v>
      </c>
      <c r="O1110">
        <v>22.667727272727273</v>
      </c>
    </row>
    <row r="1111" spans="1:15" x14ac:dyDescent="0.35">
      <c r="A1111" s="7" t="s">
        <v>601</v>
      </c>
      <c r="B1111" s="3">
        <v>22.5</v>
      </c>
      <c r="N1111" t="s">
        <v>143</v>
      </c>
      <c r="O1111">
        <v>22.225454545454546</v>
      </c>
    </row>
    <row r="1112" spans="1:15" x14ac:dyDescent="0.35">
      <c r="A1112" s="7" t="s">
        <v>857</v>
      </c>
      <c r="B1112" s="3">
        <v>22.39</v>
      </c>
      <c r="N1112" t="s">
        <v>175</v>
      </c>
      <c r="O1112">
        <v>22.155909090909091</v>
      </c>
    </row>
    <row r="1113" spans="1:15" x14ac:dyDescent="0.35">
      <c r="A1113" s="8" t="s">
        <v>428</v>
      </c>
      <c r="B1113" s="4">
        <v>22.12</v>
      </c>
      <c r="N1113" t="s">
        <v>465</v>
      </c>
      <c r="O1113">
        <v>22.155909090909091</v>
      </c>
    </row>
    <row r="1114" spans="1:15" x14ac:dyDescent="0.35">
      <c r="A1114" s="7" t="s">
        <v>334</v>
      </c>
      <c r="B1114" s="3">
        <v>22.01</v>
      </c>
      <c r="N1114" t="s">
        <v>341</v>
      </c>
      <c r="O1114">
        <v>22.072727272727267</v>
      </c>
    </row>
    <row r="1115" spans="1:15" x14ac:dyDescent="0.35">
      <c r="A1115" s="7" t="s">
        <v>29</v>
      </c>
      <c r="B1115" s="3">
        <v>21.76</v>
      </c>
      <c r="N1115" t="s">
        <v>601</v>
      </c>
      <c r="O1115">
        <v>21.944090909090907</v>
      </c>
    </row>
    <row r="1116" spans="1:15" x14ac:dyDescent="0.35">
      <c r="A1116" s="8" t="s">
        <v>143</v>
      </c>
      <c r="B1116" s="4">
        <v>21.75</v>
      </c>
      <c r="N1116" t="s">
        <v>334</v>
      </c>
      <c r="O1116">
        <v>21.553181818181823</v>
      </c>
    </row>
    <row r="1117" spans="1:15" x14ac:dyDescent="0.35">
      <c r="A1117" s="7" t="s">
        <v>543</v>
      </c>
      <c r="B1117" s="3">
        <v>21.75</v>
      </c>
      <c r="N1117" t="s">
        <v>543</v>
      </c>
      <c r="O1117">
        <v>21.485000000000003</v>
      </c>
    </row>
    <row r="1118" spans="1:15" x14ac:dyDescent="0.35">
      <c r="A1118" s="7" t="s">
        <v>241</v>
      </c>
      <c r="B1118" s="3">
        <v>21.72</v>
      </c>
      <c r="N1118" t="s">
        <v>124</v>
      </c>
      <c r="O1118">
        <v>21.470000000000002</v>
      </c>
    </row>
    <row r="1119" spans="1:15" x14ac:dyDescent="0.35">
      <c r="A1119" s="7" t="s">
        <v>124</v>
      </c>
      <c r="B1119" s="3">
        <v>21.47</v>
      </c>
      <c r="N1119" t="s">
        <v>241</v>
      </c>
      <c r="O1119">
        <v>21.386363636363637</v>
      </c>
    </row>
    <row r="1120" spans="1:15" x14ac:dyDescent="0.35">
      <c r="A1120" s="7" t="s">
        <v>175</v>
      </c>
      <c r="B1120" s="3">
        <v>21.46</v>
      </c>
      <c r="N1120" t="s">
        <v>479</v>
      </c>
      <c r="O1120">
        <v>21.373636363636361</v>
      </c>
    </row>
    <row r="1121" spans="1:15" x14ac:dyDescent="0.35">
      <c r="A1121" s="7" t="s">
        <v>465</v>
      </c>
      <c r="B1121" s="3">
        <v>21.46</v>
      </c>
      <c r="N1121" t="s">
        <v>240</v>
      </c>
      <c r="O1121">
        <v>20.998636363636365</v>
      </c>
    </row>
    <row r="1122" spans="1:15" x14ac:dyDescent="0.35">
      <c r="A1122" s="7" t="s">
        <v>383</v>
      </c>
      <c r="B1122" s="3">
        <v>21.41</v>
      </c>
      <c r="N1122" t="s">
        <v>428</v>
      </c>
      <c r="O1122">
        <v>20.982727272727267</v>
      </c>
    </row>
    <row r="1123" spans="1:15" x14ac:dyDescent="0.35">
      <c r="A1123" s="8" t="s">
        <v>311</v>
      </c>
      <c r="B1123" s="4">
        <v>21.34</v>
      </c>
      <c r="N1123" t="s">
        <v>569</v>
      </c>
      <c r="O1123">
        <v>20.916818181818179</v>
      </c>
    </row>
    <row r="1124" spans="1:15" x14ac:dyDescent="0.35">
      <c r="A1124" s="7" t="s">
        <v>724</v>
      </c>
      <c r="B1124" s="3">
        <v>21.27</v>
      </c>
      <c r="N1124" t="s">
        <v>724</v>
      </c>
      <c r="O1124">
        <v>20.870454545454546</v>
      </c>
    </row>
    <row r="1125" spans="1:15" x14ac:dyDescent="0.35">
      <c r="A1125" s="7" t="s">
        <v>479</v>
      </c>
      <c r="B1125" s="3">
        <v>21.26</v>
      </c>
      <c r="N1125" t="s">
        <v>719</v>
      </c>
      <c r="O1125">
        <v>20.834999999999994</v>
      </c>
    </row>
    <row r="1126" spans="1:15" x14ac:dyDescent="0.35">
      <c r="A1126" s="8" t="s">
        <v>240</v>
      </c>
      <c r="B1126" s="4">
        <v>21.22</v>
      </c>
      <c r="N1126" t="s">
        <v>375</v>
      </c>
      <c r="O1126">
        <v>20.577272727272728</v>
      </c>
    </row>
    <row r="1127" spans="1:15" x14ac:dyDescent="0.35">
      <c r="A1127" s="8" t="s">
        <v>569</v>
      </c>
      <c r="B1127" s="4">
        <v>21.18</v>
      </c>
      <c r="N1127" t="s">
        <v>595</v>
      </c>
      <c r="O1127">
        <v>20.425000000000001</v>
      </c>
    </row>
    <row r="1128" spans="1:15" x14ac:dyDescent="0.35">
      <c r="A1128" s="7" t="s">
        <v>719</v>
      </c>
      <c r="B1128" s="3">
        <v>21.16</v>
      </c>
      <c r="N1128" t="s">
        <v>40</v>
      </c>
      <c r="O1128">
        <v>20.344545454545457</v>
      </c>
    </row>
    <row r="1129" spans="1:15" x14ac:dyDescent="0.35">
      <c r="A1129" s="8" t="s">
        <v>341</v>
      </c>
      <c r="B1129" s="4">
        <v>21.14</v>
      </c>
      <c r="N1129" t="s">
        <v>74</v>
      </c>
      <c r="O1129">
        <v>20.31545454545455</v>
      </c>
    </row>
    <row r="1130" spans="1:15" x14ac:dyDescent="0.35">
      <c r="A1130" s="8" t="s">
        <v>152</v>
      </c>
      <c r="B1130" s="4">
        <v>20.94</v>
      </c>
      <c r="N1130" t="s">
        <v>526</v>
      </c>
      <c r="O1130">
        <v>19.782727272727275</v>
      </c>
    </row>
    <row r="1131" spans="1:15" x14ac:dyDescent="0.35">
      <c r="A1131" s="8" t="s">
        <v>526</v>
      </c>
      <c r="B1131" s="4">
        <v>20.69</v>
      </c>
      <c r="N1131" t="s">
        <v>823</v>
      </c>
      <c r="O1131">
        <v>19.626363636363635</v>
      </c>
    </row>
    <row r="1132" spans="1:15" x14ac:dyDescent="0.35">
      <c r="A1132" s="8" t="s">
        <v>493</v>
      </c>
      <c r="B1132" s="4">
        <v>20.64</v>
      </c>
      <c r="N1132" t="s">
        <v>292</v>
      </c>
      <c r="O1132">
        <v>19.615454545454543</v>
      </c>
    </row>
    <row r="1133" spans="1:15" x14ac:dyDescent="0.35">
      <c r="A1133" s="7" t="s">
        <v>678</v>
      </c>
      <c r="B1133" s="3">
        <v>20.45</v>
      </c>
      <c r="N1133" t="s">
        <v>104</v>
      </c>
      <c r="O1133">
        <v>19.523636363636363</v>
      </c>
    </row>
    <row r="1134" spans="1:15" x14ac:dyDescent="0.35">
      <c r="A1134" s="8" t="s">
        <v>40</v>
      </c>
      <c r="B1134" s="4">
        <v>20.25</v>
      </c>
      <c r="N1134" t="s">
        <v>450</v>
      </c>
      <c r="O1134">
        <v>19.296363636363633</v>
      </c>
    </row>
    <row r="1135" spans="1:15" x14ac:dyDescent="0.35">
      <c r="A1135" s="8" t="s">
        <v>823</v>
      </c>
      <c r="B1135" s="4">
        <v>20.14</v>
      </c>
      <c r="N1135" t="s">
        <v>457</v>
      </c>
      <c r="O1135">
        <v>19.124090909090906</v>
      </c>
    </row>
    <row r="1136" spans="1:15" x14ac:dyDescent="0.35">
      <c r="A1136" s="7" t="s">
        <v>375</v>
      </c>
      <c r="B1136" s="3">
        <v>19.91</v>
      </c>
      <c r="N1136" t="s">
        <v>735</v>
      </c>
      <c r="O1136">
        <v>19.072727272727278</v>
      </c>
    </row>
    <row r="1137" spans="1:15" x14ac:dyDescent="0.35">
      <c r="A1137" s="8" t="s">
        <v>74</v>
      </c>
      <c r="B1137" s="4">
        <v>19.79</v>
      </c>
      <c r="N1137" t="s">
        <v>5</v>
      </c>
      <c r="O1137">
        <v>19.066818181818181</v>
      </c>
    </row>
    <row r="1138" spans="1:15" x14ac:dyDescent="0.35">
      <c r="A1138" s="7" t="s">
        <v>595</v>
      </c>
      <c r="B1138" s="3">
        <v>19.559999999999999</v>
      </c>
      <c r="N1138" t="s">
        <v>678</v>
      </c>
      <c r="O1138">
        <v>18.937727272727276</v>
      </c>
    </row>
    <row r="1139" spans="1:15" x14ac:dyDescent="0.35">
      <c r="A1139" s="8" t="s">
        <v>735</v>
      </c>
      <c r="B1139" s="4">
        <v>19.23</v>
      </c>
      <c r="N1139" t="s">
        <v>152</v>
      </c>
      <c r="O1139">
        <v>18.775909090909092</v>
      </c>
    </row>
    <row r="1140" spans="1:15" x14ac:dyDescent="0.35">
      <c r="A1140" s="7" t="s">
        <v>292</v>
      </c>
      <c r="B1140" s="3">
        <v>19.21</v>
      </c>
      <c r="N1140" t="s">
        <v>179</v>
      </c>
      <c r="O1140">
        <v>18.74727272727273</v>
      </c>
    </row>
    <row r="1141" spans="1:15" x14ac:dyDescent="0.35">
      <c r="A1141" s="8" t="s">
        <v>104</v>
      </c>
      <c r="B1141" s="4">
        <v>19.02</v>
      </c>
      <c r="N1141" t="s">
        <v>282</v>
      </c>
      <c r="O1141">
        <v>18.605454545454545</v>
      </c>
    </row>
    <row r="1142" spans="1:15" x14ac:dyDescent="0.35">
      <c r="A1142" s="7" t="s">
        <v>345</v>
      </c>
      <c r="B1142" s="3">
        <v>18.88</v>
      </c>
      <c r="N1142" t="s">
        <v>299</v>
      </c>
      <c r="O1142">
        <v>18.521818181818183</v>
      </c>
    </row>
    <row r="1143" spans="1:15" x14ac:dyDescent="0.35">
      <c r="A1143" s="8" t="s">
        <v>450</v>
      </c>
      <c r="B1143" s="4">
        <v>18.82</v>
      </c>
      <c r="N1143" t="s">
        <v>731</v>
      </c>
      <c r="O1143">
        <v>18.337727272727271</v>
      </c>
    </row>
    <row r="1144" spans="1:15" x14ac:dyDescent="0.35">
      <c r="A1144" s="8" t="s">
        <v>179</v>
      </c>
      <c r="B1144" s="4">
        <v>18.78</v>
      </c>
      <c r="N1144" t="s">
        <v>345</v>
      </c>
      <c r="O1144">
        <v>18.311363636363637</v>
      </c>
    </row>
    <row r="1145" spans="1:15" x14ac:dyDescent="0.35">
      <c r="A1145" s="8" t="s">
        <v>282</v>
      </c>
      <c r="B1145" s="4">
        <v>18.75</v>
      </c>
      <c r="N1145" t="s">
        <v>558</v>
      </c>
      <c r="O1145">
        <v>17.964545454545455</v>
      </c>
    </row>
    <row r="1146" spans="1:15" x14ac:dyDescent="0.35">
      <c r="A1146" s="7" t="s">
        <v>1</v>
      </c>
      <c r="B1146" s="3">
        <v>18.57</v>
      </c>
      <c r="N1146" t="s">
        <v>311</v>
      </c>
      <c r="O1146">
        <v>17.877272727272722</v>
      </c>
    </row>
    <row r="1147" spans="1:15" x14ac:dyDescent="0.35">
      <c r="A1147" s="8" t="s">
        <v>731</v>
      </c>
      <c r="B1147" s="4">
        <v>18.489999999999998</v>
      </c>
      <c r="N1147" t="s">
        <v>9</v>
      </c>
      <c r="O1147">
        <v>17.695454545454542</v>
      </c>
    </row>
    <row r="1148" spans="1:15" x14ac:dyDescent="0.35">
      <c r="A1148" s="7" t="s">
        <v>558</v>
      </c>
      <c r="B1148" s="3">
        <v>17.989999999999998</v>
      </c>
      <c r="N1148" t="s">
        <v>712</v>
      </c>
      <c r="O1148">
        <v>17.399090909090916</v>
      </c>
    </row>
    <row r="1149" spans="1:15" x14ac:dyDescent="0.35">
      <c r="A1149" s="8" t="s">
        <v>183</v>
      </c>
      <c r="B1149" s="4">
        <v>17.91</v>
      </c>
      <c r="N1149" t="s">
        <v>183</v>
      </c>
      <c r="O1149">
        <v>17.391818181818181</v>
      </c>
    </row>
    <row r="1150" spans="1:15" x14ac:dyDescent="0.35">
      <c r="A1150" s="8" t="s">
        <v>280</v>
      </c>
      <c r="B1150" s="4">
        <v>17.489999999999998</v>
      </c>
      <c r="N1150" t="s">
        <v>848</v>
      </c>
      <c r="O1150">
        <v>17.247727272727271</v>
      </c>
    </row>
    <row r="1151" spans="1:15" x14ac:dyDescent="0.35">
      <c r="A1151" s="8" t="s">
        <v>712</v>
      </c>
      <c r="B1151" s="4">
        <v>17.41</v>
      </c>
      <c r="N1151" t="s">
        <v>475</v>
      </c>
      <c r="O1151">
        <v>17.247727272727271</v>
      </c>
    </row>
    <row r="1152" spans="1:15" x14ac:dyDescent="0.35">
      <c r="A1152" s="7" t="s">
        <v>848</v>
      </c>
      <c r="B1152" s="3">
        <v>17.170000000000002</v>
      </c>
      <c r="N1152" t="s">
        <v>395</v>
      </c>
      <c r="O1152">
        <v>17.210454545454546</v>
      </c>
    </row>
    <row r="1153" spans="1:15" x14ac:dyDescent="0.35">
      <c r="A1153" s="8" t="s">
        <v>475</v>
      </c>
      <c r="B1153" s="4">
        <v>17.170000000000002</v>
      </c>
      <c r="N1153" t="s">
        <v>1</v>
      </c>
      <c r="O1153">
        <v>17.202272727272728</v>
      </c>
    </row>
    <row r="1154" spans="1:15" x14ac:dyDescent="0.35">
      <c r="A1154" s="7" t="s">
        <v>427</v>
      </c>
      <c r="B1154" s="3">
        <v>16.97</v>
      </c>
      <c r="N1154" t="s">
        <v>427</v>
      </c>
      <c r="O1154">
        <v>17.195909090909087</v>
      </c>
    </row>
    <row r="1155" spans="1:15" x14ac:dyDescent="0.35">
      <c r="A1155" s="7" t="s">
        <v>59</v>
      </c>
      <c r="B1155" s="3">
        <v>16.84</v>
      </c>
      <c r="N1155" t="s">
        <v>280</v>
      </c>
      <c r="O1155">
        <v>17.03227272727273</v>
      </c>
    </row>
    <row r="1156" spans="1:15" x14ac:dyDescent="0.35">
      <c r="A1156" s="8" t="s">
        <v>303</v>
      </c>
      <c r="B1156" s="4">
        <v>16.68</v>
      </c>
      <c r="N1156" t="s">
        <v>303</v>
      </c>
      <c r="O1156">
        <v>16.851818181818178</v>
      </c>
    </row>
    <row r="1157" spans="1:15" x14ac:dyDescent="0.35">
      <c r="A1157" s="7" t="s">
        <v>395</v>
      </c>
      <c r="B1157" s="3">
        <v>16.18</v>
      </c>
      <c r="N1157" t="s">
        <v>22</v>
      </c>
      <c r="O1157">
        <v>16.848636363636363</v>
      </c>
    </row>
    <row r="1158" spans="1:15" x14ac:dyDescent="0.35">
      <c r="A1158" s="7" t="s">
        <v>706</v>
      </c>
      <c r="B1158" s="3">
        <v>16.100000000000001</v>
      </c>
      <c r="N1158" t="s">
        <v>59</v>
      </c>
      <c r="O1158">
        <v>16.314545454545456</v>
      </c>
    </row>
    <row r="1159" spans="1:15" x14ac:dyDescent="0.35">
      <c r="A1159" s="7" t="s">
        <v>304</v>
      </c>
      <c r="B1159" s="3">
        <v>15.89</v>
      </c>
      <c r="N1159" t="s">
        <v>822</v>
      </c>
      <c r="O1159">
        <v>16.204090909090908</v>
      </c>
    </row>
    <row r="1160" spans="1:15" x14ac:dyDescent="0.35">
      <c r="A1160" s="8" t="s">
        <v>822</v>
      </c>
      <c r="B1160" s="4">
        <v>15.74</v>
      </c>
      <c r="N1160" t="s">
        <v>389</v>
      </c>
      <c r="O1160">
        <v>16.204090909090908</v>
      </c>
    </row>
    <row r="1161" spans="1:15" x14ac:dyDescent="0.35">
      <c r="A1161" s="7" t="s">
        <v>389</v>
      </c>
      <c r="B1161" s="3">
        <v>15.74</v>
      </c>
      <c r="N1161" t="s">
        <v>6</v>
      </c>
      <c r="O1161">
        <v>16.104545454545448</v>
      </c>
    </row>
    <row r="1162" spans="1:15" x14ac:dyDescent="0.35">
      <c r="A1162" s="7" t="s">
        <v>324</v>
      </c>
      <c r="B1162" s="3">
        <v>15.65</v>
      </c>
      <c r="N1162" t="s">
        <v>645</v>
      </c>
      <c r="O1162">
        <v>16.10318181818182</v>
      </c>
    </row>
    <row r="1163" spans="1:15" x14ac:dyDescent="0.35">
      <c r="A1163" s="8" t="s">
        <v>632</v>
      </c>
      <c r="B1163" s="4">
        <v>15.63</v>
      </c>
      <c r="N1163" t="s">
        <v>304</v>
      </c>
      <c r="O1163">
        <v>15.940909090909093</v>
      </c>
    </row>
    <row r="1164" spans="1:15" x14ac:dyDescent="0.35">
      <c r="A1164" s="8" t="s">
        <v>58</v>
      </c>
      <c r="B1164" s="4">
        <v>15.6</v>
      </c>
      <c r="N1164" t="s">
        <v>684</v>
      </c>
      <c r="O1164">
        <v>15.694090909090914</v>
      </c>
    </row>
    <row r="1165" spans="1:15" x14ac:dyDescent="0.35">
      <c r="A1165" s="8" t="s">
        <v>684</v>
      </c>
      <c r="B1165" s="4">
        <v>15.56</v>
      </c>
      <c r="N1165" t="s">
        <v>101</v>
      </c>
      <c r="O1165">
        <v>15.62772727272727</v>
      </c>
    </row>
    <row r="1166" spans="1:15" x14ac:dyDescent="0.35">
      <c r="A1166" s="7" t="s">
        <v>645</v>
      </c>
      <c r="B1166" s="3">
        <v>15.52</v>
      </c>
      <c r="N1166" t="s">
        <v>871</v>
      </c>
      <c r="O1166">
        <v>15.62772727272727</v>
      </c>
    </row>
    <row r="1167" spans="1:15" x14ac:dyDescent="0.35">
      <c r="A1167" s="8" t="s">
        <v>810</v>
      </c>
      <c r="B1167" s="4">
        <v>15.48</v>
      </c>
      <c r="N1167" t="s">
        <v>632</v>
      </c>
      <c r="O1167">
        <v>15.545</v>
      </c>
    </row>
    <row r="1168" spans="1:15" x14ac:dyDescent="0.35">
      <c r="A1168" s="8" t="s">
        <v>739</v>
      </c>
      <c r="B1168" s="4">
        <v>15.48</v>
      </c>
      <c r="N1168" t="s">
        <v>810</v>
      </c>
      <c r="O1168">
        <v>15.530454545454548</v>
      </c>
    </row>
    <row r="1169" spans="1:15" x14ac:dyDescent="0.35">
      <c r="A1169" s="7" t="s">
        <v>285</v>
      </c>
      <c r="B1169" s="3">
        <v>15.47</v>
      </c>
      <c r="N1169" t="s">
        <v>739</v>
      </c>
      <c r="O1169">
        <v>15.530454545454548</v>
      </c>
    </row>
    <row r="1170" spans="1:15" x14ac:dyDescent="0.35">
      <c r="A1170" s="7" t="s">
        <v>439</v>
      </c>
      <c r="B1170" s="3">
        <v>15.45</v>
      </c>
      <c r="N1170" t="s">
        <v>285</v>
      </c>
      <c r="O1170">
        <v>15.527272727272731</v>
      </c>
    </row>
    <row r="1171" spans="1:15" x14ac:dyDescent="0.35">
      <c r="A1171" s="8" t="s">
        <v>101</v>
      </c>
      <c r="B1171" s="4">
        <v>15.31</v>
      </c>
      <c r="N1171" t="s">
        <v>58</v>
      </c>
      <c r="O1171">
        <v>15.482727272727276</v>
      </c>
    </row>
    <row r="1172" spans="1:15" x14ac:dyDescent="0.35">
      <c r="A1172" s="7" t="s">
        <v>871</v>
      </c>
      <c r="B1172" s="3">
        <v>15.31</v>
      </c>
      <c r="N1172" t="s">
        <v>110</v>
      </c>
      <c r="O1172">
        <v>15.326363636363634</v>
      </c>
    </row>
    <row r="1173" spans="1:15" x14ac:dyDescent="0.35">
      <c r="A1173" s="8" t="s">
        <v>429</v>
      </c>
      <c r="B1173" s="4">
        <v>15.17</v>
      </c>
      <c r="N1173" t="s">
        <v>706</v>
      </c>
      <c r="O1173">
        <v>15.318636363636363</v>
      </c>
    </row>
    <row r="1174" spans="1:15" x14ac:dyDescent="0.35">
      <c r="A1174" s="8" t="s">
        <v>2</v>
      </c>
      <c r="B1174" s="4">
        <v>15.13</v>
      </c>
      <c r="N1174" t="s">
        <v>165</v>
      </c>
      <c r="O1174">
        <v>15.307272727272727</v>
      </c>
    </row>
    <row r="1175" spans="1:15" x14ac:dyDescent="0.35">
      <c r="A1175" s="8" t="s">
        <v>84</v>
      </c>
      <c r="B1175" s="4">
        <v>15.12</v>
      </c>
      <c r="N1175" t="s">
        <v>24</v>
      </c>
      <c r="O1175">
        <v>15.232727272727272</v>
      </c>
    </row>
    <row r="1176" spans="1:15" x14ac:dyDescent="0.35">
      <c r="A1176" s="7" t="s">
        <v>738</v>
      </c>
      <c r="B1176" s="3">
        <v>15.05</v>
      </c>
      <c r="N1176" t="s">
        <v>658</v>
      </c>
      <c r="O1176">
        <v>15.163181818181819</v>
      </c>
    </row>
    <row r="1177" spans="1:15" x14ac:dyDescent="0.35">
      <c r="A1177" s="8" t="s">
        <v>866</v>
      </c>
      <c r="B1177" s="4">
        <v>14.92</v>
      </c>
      <c r="N1177" t="s">
        <v>82</v>
      </c>
      <c r="O1177">
        <v>15.159999999999998</v>
      </c>
    </row>
    <row r="1178" spans="1:15" x14ac:dyDescent="0.35">
      <c r="A1178" s="8" t="s">
        <v>673</v>
      </c>
      <c r="B1178" s="4">
        <v>14.81</v>
      </c>
      <c r="N1178" t="s">
        <v>84</v>
      </c>
      <c r="O1178">
        <v>14.81681818181818</v>
      </c>
    </row>
    <row r="1179" spans="1:15" x14ac:dyDescent="0.35">
      <c r="A1179" s="8" t="s">
        <v>110</v>
      </c>
      <c r="B1179" s="4">
        <v>14.62</v>
      </c>
      <c r="N1179" t="s">
        <v>429</v>
      </c>
      <c r="O1179">
        <v>14.815454545454548</v>
      </c>
    </row>
    <row r="1180" spans="1:15" x14ac:dyDescent="0.35">
      <c r="A1180" s="8" t="s">
        <v>82</v>
      </c>
      <c r="B1180" s="4">
        <v>14.55</v>
      </c>
      <c r="N1180" t="s">
        <v>866</v>
      </c>
      <c r="O1180">
        <v>14.754090909090907</v>
      </c>
    </row>
    <row r="1181" spans="1:15" x14ac:dyDescent="0.35">
      <c r="A1181" s="7" t="s">
        <v>484</v>
      </c>
      <c r="B1181" s="3">
        <v>14.46</v>
      </c>
      <c r="N1181" t="s">
        <v>738</v>
      </c>
      <c r="O1181">
        <v>14.596818181818184</v>
      </c>
    </row>
    <row r="1182" spans="1:15" x14ac:dyDescent="0.35">
      <c r="A1182" s="8" t="s">
        <v>658</v>
      </c>
      <c r="B1182" s="4">
        <v>14.2</v>
      </c>
      <c r="N1182" t="s">
        <v>494</v>
      </c>
      <c r="O1182">
        <v>14.537272727272729</v>
      </c>
    </row>
    <row r="1183" spans="1:15" x14ac:dyDescent="0.35">
      <c r="A1183" s="7" t="s">
        <v>494</v>
      </c>
      <c r="B1183" s="3">
        <v>14.19</v>
      </c>
      <c r="N1183" t="s">
        <v>835</v>
      </c>
      <c r="O1183">
        <v>14.378181818181815</v>
      </c>
    </row>
    <row r="1184" spans="1:15" x14ac:dyDescent="0.35">
      <c r="A1184" s="8" t="s">
        <v>313</v>
      </c>
      <c r="B1184" s="4">
        <v>14.16</v>
      </c>
      <c r="N1184" t="s">
        <v>673</v>
      </c>
      <c r="O1184">
        <v>14.37772727272727</v>
      </c>
    </row>
    <row r="1185" spans="1:15" x14ac:dyDescent="0.35">
      <c r="A1185" s="8" t="s">
        <v>596</v>
      </c>
      <c r="B1185" s="4">
        <v>14.16</v>
      </c>
      <c r="N1185" t="s">
        <v>432</v>
      </c>
      <c r="O1185">
        <v>14.372272727272728</v>
      </c>
    </row>
    <row r="1186" spans="1:15" x14ac:dyDescent="0.35">
      <c r="A1186" s="8" t="s">
        <v>592</v>
      </c>
      <c r="B1186" s="4">
        <v>14.15</v>
      </c>
      <c r="N1186" t="s">
        <v>164</v>
      </c>
      <c r="O1186">
        <v>14.239999999999998</v>
      </c>
    </row>
    <row r="1187" spans="1:15" x14ac:dyDescent="0.35">
      <c r="A1187" s="8" t="s">
        <v>22</v>
      </c>
      <c r="B1187" s="4">
        <v>14.13</v>
      </c>
      <c r="N1187" t="s">
        <v>691</v>
      </c>
      <c r="O1187">
        <v>14.185909090909087</v>
      </c>
    </row>
    <row r="1188" spans="1:15" x14ac:dyDescent="0.35">
      <c r="A1188" s="7" t="s">
        <v>551</v>
      </c>
      <c r="B1188" s="3">
        <v>14.02</v>
      </c>
      <c r="N1188" t="s">
        <v>85</v>
      </c>
      <c r="O1188">
        <v>14.092727272727274</v>
      </c>
    </row>
    <row r="1189" spans="1:15" x14ac:dyDescent="0.35">
      <c r="A1189" s="7" t="s">
        <v>432</v>
      </c>
      <c r="B1189" s="3">
        <v>13.94</v>
      </c>
      <c r="N1189" t="s">
        <v>548</v>
      </c>
      <c r="O1189">
        <v>13.995909090909088</v>
      </c>
    </row>
    <row r="1190" spans="1:15" x14ac:dyDescent="0.35">
      <c r="A1190" s="8" t="s">
        <v>63</v>
      </c>
      <c r="B1190" s="4">
        <v>13.9</v>
      </c>
      <c r="N1190" t="s">
        <v>61</v>
      </c>
      <c r="O1190">
        <v>13.857727272727271</v>
      </c>
    </row>
    <row r="1191" spans="1:15" x14ac:dyDescent="0.35">
      <c r="A1191" s="8" t="s">
        <v>548</v>
      </c>
      <c r="B1191" s="4">
        <v>13.9</v>
      </c>
      <c r="N1191" t="s">
        <v>348</v>
      </c>
      <c r="O1191">
        <v>13.856363636363636</v>
      </c>
    </row>
    <row r="1192" spans="1:15" x14ac:dyDescent="0.35">
      <c r="A1192" s="7" t="s">
        <v>48</v>
      </c>
      <c r="B1192" s="3">
        <v>13.89</v>
      </c>
      <c r="N1192" t="s">
        <v>302</v>
      </c>
      <c r="O1192">
        <v>13.853636363636362</v>
      </c>
    </row>
    <row r="1193" spans="1:15" x14ac:dyDescent="0.35">
      <c r="A1193" s="7" t="s">
        <v>61</v>
      </c>
      <c r="B1193" s="3">
        <v>13.84</v>
      </c>
      <c r="N1193" t="s">
        <v>63</v>
      </c>
      <c r="O1193">
        <v>13.754545454545452</v>
      </c>
    </row>
    <row r="1194" spans="1:15" x14ac:dyDescent="0.35">
      <c r="A1194" s="8" t="s">
        <v>348</v>
      </c>
      <c r="B1194" s="4">
        <v>13.84</v>
      </c>
      <c r="N1194" t="s">
        <v>324</v>
      </c>
      <c r="O1194">
        <v>13.733636363636363</v>
      </c>
    </row>
    <row r="1195" spans="1:15" x14ac:dyDescent="0.35">
      <c r="A1195" s="7" t="s">
        <v>663</v>
      </c>
      <c r="B1195" s="3">
        <v>13.84</v>
      </c>
      <c r="N1195" t="s">
        <v>663</v>
      </c>
      <c r="O1195">
        <v>13.729545454545455</v>
      </c>
    </row>
    <row r="1196" spans="1:15" x14ac:dyDescent="0.35">
      <c r="A1196" s="8" t="s">
        <v>154</v>
      </c>
      <c r="B1196" s="4">
        <v>13.82</v>
      </c>
      <c r="N1196" t="s">
        <v>313</v>
      </c>
      <c r="O1196">
        <v>13.646363636363638</v>
      </c>
    </row>
    <row r="1197" spans="1:15" x14ac:dyDescent="0.35">
      <c r="A1197" s="8" t="s">
        <v>301</v>
      </c>
      <c r="B1197" s="4">
        <v>13.79</v>
      </c>
      <c r="N1197" t="s">
        <v>551</v>
      </c>
      <c r="O1197">
        <v>13.55818181818182</v>
      </c>
    </row>
    <row r="1198" spans="1:15" x14ac:dyDescent="0.35">
      <c r="A1198" s="7" t="s">
        <v>691</v>
      </c>
      <c r="B1198" s="3">
        <v>13.77</v>
      </c>
      <c r="N1198" t="s">
        <v>484</v>
      </c>
      <c r="O1198">
        <v>13.548181818181819</v>
      </c>
    </row>
    <row r="1199" spans="1:15" x14ac:dyDescent="0.35">
      <c r="A1199" s="8" t="s">
        <v>380</v>
      </c>
      <c r="B1199" s="4">
        <v>13.66</v>
      </c>
      <c r="N1199" t="s">
        <v>70</v>
      </c>
      <c r="O1199">
        <v>13.512272727272729</v>
      </c>
    </row>
    <row r="1200" spans="1:15" x14ac:dyDescent="0.35">
      <c r="A1200" s="7" t="s">
        <v>243</v>
      </c>
      <c r="B1200" s="3">
        <v>13.52</v>
      </c>
      <c r="N1200" t="s">
        <v>48</v>
      </c>
      <c r="O1200">
        <v>13.42363636363636</v>
      </c>
    </row>
    <row r="1201" spans="1:15" x14ac:dyDescent="0.35">
      <c r="A1201" s="8" t="s">
        <v>355</v>
      </c>
      <c r="B1201" s="4">
        <v>13.46</v>
      </c>
      <c r="N1201" t="s">
        <v>482</v>
      </c>
      <c r="O1201">
        <v>13.380454545454546</v>
      </c>
    </row>
    <row r="1202" spans="1:15" x14ac:dyDescent="0.35">
      <c r="A1202" s="7" t="s">
        <v>165</v>
      </c>
      <c r="B1202" s="3">
        <v>13.4</v>
      </c>
      <c r="N1202" t="s">
        <v>355</v>
      </c>
      <c r="O1202">
        <v>13.324545454545454</v>
      </c>
    </row>
    <row r="1203" spans="1:15" x14ac:dyDescent="0.35">
      <c r="A1203" s="7" t="s">
        <v>85</v>
      </c>
      <c r="B1203" s="3">
        <v>13.37</v>
      </c>
      <c r="N1203" t="s">
        <v>532</v>
      </c>
      <c r="O1203">
        <v>13.298181818181821</v>
      </c>
    </row>
    <row r="1204" spans="1:15" x14ac:dyDescent="0.35">
      <c r="A1204" s="7" t="s">
        <v>7</v>
      </c>
      <c r="B1204" s="3">
        <v>13.29</v>
      </c>
      <c r="N1204" t="s">
        <v>707</v>
      </c>
      <c r="O1204">
        <v>13.05727272727273</v>
      </c>
    </row>
    <row r="1205" spans="1:15" x14ac:dyDescent="0.35">
      <c r="A1205" s="7" t="s">
        <v>332</v>
      </c>
      <c r="B1205" s="3">
        <v>13.13</v>
      </c>
      <c r="N1205" t="s">
        <v>563</v>
      </c>
      <c r="O1205">
        <v>13.053636363636359</v>
      </c>
    </row>
    <row r="1206" spans="1:15" x14ac:dyDescent="0.35">
      <c r="A1206" s="8" t="s">
        <v>563</v>
      </c>
      <c r="B1206" s="4">
        <v>13.09</v>
      </c>
      <c r="N1206" t="s">
        <v>380</v>
      </c>
      <c r="O1206">
        <v>13.031363636363636</v>
      </c>
    </row>
    <row r="1207" spans="1:15" x14ac:dyDescent="0.35">
      <c r="A1207" s="8" t="s">
        <v>24</v>
      </c>
      <c r="B1207" s="4">
        <v>13.02</v>
      </c>
      <c r="N1207" t="s">
        <v>439</v>
      </c>
      <c r="O1207">
        <v>12.964090909090912</v>
      </c>
    </row>
    <row r="1208" spans="1:15" x14ac:dyDescent="0.35">
      <c r="A1208" s="8" t="s">
        <v>835</v>
      </c>
      <c r="B1208" s="4">
        <v>12.94</v>
      </c>
      <c r="N1208" t="s">
        <v>2</v>
      </c>
      <c r="O1208">
        <v>12.827272727272726</v>
      </c>
    </row>
    <row r="1209" spans="1:15" x14ac:dyDescent="0.35">
      <c r="A1209" s="7" t="s">
        <v>697</v>
      </c>
      <c r="B1209" s="3">
        <v>12.91</v>
      </c>
      <c r="N1209" t="s">
        <v>243</v>
      </c>
      <c r="O1209">
        <v>12.774999999999999</v>
      </c>
    </row>
    <row r="1210" spans="1:15" x14ac:dyDescent="0.35">
      <c r="A1210" s="8" t="s">
        <v>707</v>
      </c>
      <c r="B1210" s="4">
        <v>12.82</v>
      </c>
      <c r="N1210" t="s">
        <v>697</v>
      </c>
      <c r="O1210">
        <v>12.673636363636369</v>
      </c>
    </row>
    <row r="1211" spans="1:15" x14ac:dyDescent="0.35">
      <c r="A1211" s="8" t="s">
        <v>532</v>
      </c>
      <c r="B1211" s="4">
        <v>12.69</v>
      </c>
      <c r="N1211" t="s">
        <v>220</v>
      </c>
      <c r="O1211">
        <v>12.571818181818184</v>
      </c>
    </row>
    <row r="1212" spans="1:15" x14ac:dyDescent="0.35">
      <c r="A1212" s="7" t="s">
        <v>649</v>
      </c>
      <c r="B1212" s="3">
        <v>12.65</v>
      </c>
      <c r="N1212" t="s">
        <v>332</v>
      </c>
      <c r="O1212">
        <v>12.561363636363637</v>
      </c>
    </row>
    <row r="1213" spans="1:15" x14ac:dyDescent="0.35">
      <c r="A1213" s="8" t="s">
        <v>808</v>
      </c>
      <c r="B1213" s="4">
        <v>12.53</v>
      </c>
      <c r="N1213" t="s">
        <v>596</v>
      </c>
      <c r="O1213">
        <v>12.358636363636366</v>
      </c>
    </row>
    <row r="1214" spans="1:15" x14ac:dyDescent="0.35">
      <c r="A1214" s="8" t="s">
        <v>53</v>
      </c>
      <c r="B1214" s="4">
        <v>12.51</v>
      </c>
      <c r="N1214" t="s">
        <v>358</v>
      </c>
      <c r="O1214">
        <v>12.171363636363635</v>
      </c>
    </row>
    <row r="1215" spans="1:15" x14ac:dyDescent="0.35">
      <c r="A1215" s="7" t="s">
        <v>370</v>
      </c>
      <c r="B1215" s="3">
        <v>12.33</v>
      </c>
      <c r="N1215" t="s">
        <v>208</v>
      </c>
      <c r="O1215">
        <v>12.14590909090909</v>
      </c>
    </row>
    <row r="1216" spans="1:15" x14ac:dyDescent="0.35">
      <c r="A1216" s="8" t="s">
        <v>456</v>
      </c>
      <c r="B1216" s="4">
        <v>12.27</v>
      </c>
      <c r="N1216" t="s">
        <v>674</v>
      </c>
      <c r="O1216">
        <v>12.143636363636364</v>
      </c>
    </row>
    <row r="1217" spans="1:15" x14ac:dyDescent="0.35">
      <c r="A1217" s="7" t="s">
        <v>536</v>
      </c>
      <c r="B1217" s="3">
        <v>12.2</v>
      </c>
      <c r="N1217" t="s">
        <v>808</v>
      </c>
      <c r="O1217">
        <v>12.133181818181818</v>
      </c>
    </row>
    <row r="1218" spans="1:15" x14ac:dyDescent="0.35">
      <c r="A1218" s="7" t="s">
        <v>674</v>
      </c>
      <c r="B1218" s="3">
        <v>12.2</v>
      </c>
      <c r="N1218" t="s">
        <v>370</v>
      </c>
      <c r="O1218">
        <v>12.114999999999998</v>
      </c>
    </row>
    <row r="1219" spans="1:15" x14ac:dyDescent="0.35">
      <c r="A1219" s="8" t="s">
        <v>474</v>
      </c>
      <c r="B1219" s="4">
        <v>12.16</v>
      </c>
      <c r="N1219" t="s">
        <v>267</v>
      </c>
      <c r="O1219">
        <v>12.108636363636363</v>
      </c>
    </row>
    <row r="1220" spans="1:15" x14ac:dyDescent="0.35">
      <c r="A1220" s="8" t="s">
        <v>220</v>
      </c>
      <c r="B1220" s="4">
        <v>12.14</v>
      </c>
      <c r="N1220" t="s">
        <v>53</v>
      </c>
      <c r="O1220">
        <v>12.091818181818178</v>
      </c>
    </row>
    <row r="1221" spans="1:15" x14ac:dyDescent="0.35">
      <c r="A1221" s="7" t="s">
        <v>11</v>
      </c>
      <c r="B1221" s="3">
        <v>12.09</v>
      </c>
      <c r="N1221" t="s">
        <v>154</v>
      </c>
      <c r="O1221">
        <v>12.058181818181817</v>
      </c>
    </row>
    <row r="1222" spans="1:15" x14ac:dyDescent="0.35">
      <c r="A1222" s="8" t="s">
        <v>164</v>
      </c>
      <c r="B1222" s="4">
        <v>12.09</v>
      </c>
      <c r="N1222" t="s">
        <v>254</v>
      </c>
      <c r="O1222">
        <v>12.046818181818184</v>
      </c>
    </row>
    <row r="1223" spans="1:15" x14ac:dyDescent="0.35">
      <c r="A1223" s="8" t="s">
        <v>123</v>
      </c>
      <c r="B1223" s="4">
        <v>12.08</v>
      </c>
      <c r="N1223" t="s">
        <v>123</v>
      </c>
      <c r="O1223">
        <v>12.04</v>
      </c>
    </row>
    <row r="1224" spans="1:15" x14ac:dyDescent="0.35">
      <c r="A1224" s="8" t="s">
        <v>331</v>
      </c>
      <c r="B1224" s="4">
        <v>12</v>
      </c>
      <c r="N1224" t="s">
        <v>258</v>
      </c>
      <c r="O1224">
        <v>12.028636363636364</v>
      </c>
    </row>
    <row r="1225" spans="1:15" x14ac:dyDescent="0.35">
      <c r="A1225" s="8" t="s">
        <v>482</v>
      </c>
      <c r="B1225" s="4">
        <v>11.97</v>
      </c>
      <c r="N1225" t="s">
        <v>649</v>
      </c>
      <c r="O1225">
        <v>11.93227272727273</v>
      </c>
    </row>
    <row r="1226" spans="1:15" x14ac:dyDescent="0.35">
      <c r="A1226" s="8" t="s">
        <v>267</v>
      </c>
      <c r="B1226" s="4">
        <v>11.92</v>
      </c>
      <c r="N1226" t="s">
        <v>466</v>
      </c>
      <c r="O1226">
        <v>11.890454545454547</v>
      </c>
    </row>
    <row r="1227" spans="1:15" x14ac:dyDescent="0.35">
      <c r="A1227" s="7" t="s">
        <v>258</v>
      </c>
      <c r="B1227" s="3">
        <v>11.91</v>
      </c>
      <c r="N1227" t="s">
        <v>229</v>
      </c>
      <c r="O1227">
        <v>11.831818181818186</v>
      </c>
    </row>
    <row r="1228" spans="1:15" x14ac:dyDescent="0.35">
      <c r="A1228" s="7" t="s">
        <v>358</v>
      </c>
      <c r="B1228" s="3">
        <v>11.85</v>
      </c>
      <c r="N1228" t="s">
        <v>331</v>
      </c>
      <c r="O1228">
        <v>11.780454545454548</v>
      </c>
    </row>
    <row r="1229" spans="1:15" x14ac:dyDescent="0.35">
      <c r="A1229" s="8" t="s">
        <v>6</v>
      </c>
      <c r="B1229" s="4">
        <v>11.84</v>
      </c>
      <c r="N1229" t="s">
        <v>112</v>
      </c>
      <c r="O1229">
        <v>11.704545454545455</v>
      </c>
    </row>
    <row r="1230" spans="1:15" x14ac:dyDescent="0.35">
      <c r="A1230" s="7" t="s">
        <v>254</v>
      </c>
      <c r="B1230" s="3">
        <v>11.59</v>
      </c>
      <c r="N1230" t="s">
        <v>536</v>
      </c>
      <c r="O1230">
        <v>11.697272727272725</v>
      </c>
    </row>
    <row r="1231" spans="1:15" x14ac:dyDescent="0.35">
      <c r="A1231" s="7" t="s">
        <v>229</v>
      </c>
      <c r="B1231" s="3">
        <v>11.51</v>
      </c>
      <c r="N1231" t="s">
        <v>579</v>
      </c>
      <c r="O1231">
        <v>11.539545454545454</v>
      </c>
    </row>
    <row r="1232" spans="1:15" x14ac:dyDescent="0.35">
      <c r="A1232" s="8" t="s">
        <v>573</v>
      </c>
      <c r="B1232" s="4">
        <v>11.51</v>
      </c>
      <c r="N1232" t="s">
        <v>624</v>
      </c>
      <c r="O1232">
        <v>11.454090909090912</v>
      </c>
    </row>
    <row r="1233" spans="1:15" x14ac:dyDescent="0.35">
      <c r="A1233" s="8" t="s">
        <v>199</v>
      </c>
      <c r="B1233" s="4">
        <v>11.49</v>
      </c>
      <c r="N1233" t="s">
        <v>573</v>
      </c>
      <c r="O1233">
        <v>11.359999999999996</v>
      </c>
    </row>
    <row r="1234" spans="1:15" x14ac:dyDescent="0.35">
      <c r="A1234" s="8" t="s">
        <v>803</v>
      </c>
      <c r="B1234" s="4">
        <v>11.42</v>
      </c>
      <c r="N1234" t="s">
        <v>541</v>
      </c>
      <c r="O1234">
        <v>11.343181818181817</v>
      </c>
    </row>
    <row r="1235" spans="1:15" x14ac:dyDescent="0.35">
      <c r="A1235" s="8" t="s">
        <v>579</v>
      </c>
      <c r="B1235" s="4">
        <v>11.17</v>
      </c>
      <c r="N1235" t="s">
        <v>456</v>
      </c>
      <c r="O1235">
        <v>11.301818181818183</v>
      </c>
    </row>
    <row r="1236" spans="1:15" x14ac:dyDescent="0.35">
      <c r="A1236" s="8" t="s">
        <v>624</v>
      </c>
      <c r="B1236" s="4">
        <v>11.12</v>
      </c>
      <c r="N1236" t="s">
        <v>693</v>
      </c>
      <c r="O1236">
        <v>11.295454545454547</v>
      </c>
    </row>
    <row r="1237" spans="1:15" x14ac:dyDescent="0.35">
      <c r="A1237" s="7" t="s">
        <v>278</v>
      </c>
      <c r="B1237" s="3">
        <v>11.1</v>
      </c>
      <c r="N1237" t="s">
        <v>10</v>
      </c>
      <c r="O1237">
        <v>11.228636363636364</v>
      </c>
    </row>
    <row r="1238" spans="1:15" x14ac:dyDescent="0.35">
      <c r="A1238" s="7" t="s">
        <v>541</v>
      </c>
      <c r="B1238" s="3">
        <v>11.09</v>
      </c>
      <c r="N1238" t="s">
        <v>199</v>
      </c>
      <c r="O1238">
        <v>11.214545454545457</v>
      </c>
    </row>
    <row r="1239" spans="1:15" x14ac:dyDescent="0.35">
      <c r="A1239" s="8" t="s">
        <v>112</v>
      </c>
      <c r="B1239" s="4">
        <v>11.01</v>
      </c>
      <c r="N1239" t="s">
        <v>371</v>
      </c>
      <c r="O1239">
        <v>11.210909090909089</v>
      </c>
    </row>
    <row r="1240" spans="1:15" x14ac:dyDescent="0.35">
      <c r="A1240" s="8" t="s">
        <v>426</v>
      </c>
      <c r="B1240" s="4">
        <v>10.95</v>
      </c>
      <c r="N1240" t="s">
        <v>15</v>
      </c>
      <c r="O1240">
        <v>11.183181818181819</v>
      </c>
    </row>
    <row r="1241" spans="1:15" x14ac:dyDescent="0.35">
      <c r="A1241" s="7" t="s">
        <v>730</v>
      </c>
      <c r="B1241" s="3">
        <v>10.87</v>
      </c>
      <c r="N1241" t="s">
        <v>356</v>
      </c>
      <c r="O1241">
        <v>11.103181818181818</v>
      </c>
    </row>
    <row r="1242" spans="1:15" x14ac:dyDescent="0.35">
      <c r="A1242" s="7" t="s">
        <v>347</v>
      </c>
      <c r="B1242" s="3">
        <v>10.84</v>
      </c>
      <c r="N1242" t="s">
        <v>803</v>
      </c>
      <c r="O1242">
        <v>11.080454545454545</v>
      </c>
    </row>
    <row r="1243" spans="1:15" x14ac:dyDescent="0.35">
      <c r="A1243" s="8" t="s">
        <v>384</v>
      </c>
      <c r="B1243" s="4">
        <v>10.83</v>
      </c>
      <c r="N1243" t="s">
        <v>730</v>
      </c>
      <c r="O1243">
        <v>10.996363636363636</v>
      </c>
    </row>
    <row r="1244" spans="1:15" x14ac:dyDescent="0.35">
      <c r="A1244" s="8" t="s">
        <v>10</v>
      </c>
      <c r="B1244" s="4">
        <v>10.72</v>
      </c>
      <c r="N1244" t="s">
        <v>384</v>
      </c>
      <c r="O1244">
        <v>10.989090909090912</v>
      </c>
    </row>
    <row r="1245" spans="1:15" x14ac:dyDescent="0.35">
      <c r="A1245" s="8" t="s">
        <v>534</v>
      </c>
      <c r="B1245" s="4">
        <v>10.72</v>
      </c>
      <c r="N1245" t="s">
        <v>659</v>
      </c>
      <c r="O1245">
        <v>10.926363636363638</v>
      </c>
    </row>
    <row r="1246" spans="1:15" x14ac:dyDescent="0.35">
      <c r="A1246" s="8" t="s">
        <v>693</v>
      </c>
      <c r="B1246" s="4">
        <v>10.68</v>
      </c>
      <c r="N1246" t="s">
        <v>218</v>
      </c>
      <c r="O1246">
        <v>10.904090909090911</v>
      </c>
    </row>
    <row r="1247" spans="1:15" x14ac:dyDescent="0.35">
      <c r="A1247" s="8" t="s">
        <v>208</v>
      </c>
      <c r="B1247" s="4">
        <v>10.66</v>
      </c>
      <c r="N1247" t="s">
        <v>474</v>
      </c>
      <c r="O1247">
        <v>10.889090909090909</v>
      </c>
    </row>
    <row r="1248" spans="1:15" x14ac:dyDescent="0.35">
      <c r="A1248" s="8" t="s">
        <v>28</v>
      </c>
      <c r="B1248" s="4">
        <v>10.65</v>
      </c>
      <c r="N1248" t="s">
        <v>534</v>
      </c>
      <c r="O1248">
        <v>10.875000000000002</v>
      </c>
    </row>
    <row r="1249" spans="1:15" x14ac:dyDescent="0.35">
      <c r="A1249" s="8" t="s">
        <v>70</v>
      </c>
      <c r="B1249" s="4">
        <v>10.64</v>
      </c>
      <c r="N1249" t="s">
        <v>278</v>
      </c>
      <c r="O1249">
        <v>10.865909090909092</v>
      </c>
    </row>
    <row r="1250" spans="1:15" x14ac:dyDescent="0.35">
      <c r="A1250" s="8" t="s">
        <v>98</v>
      </c>
      <c r="B1250" s="4">
        <v>10.59</v>
      </c>
      <c r="N1250" t="s">
        <v>7</v>
      </c>
      <c r="O1250">
        <v>10.822272727272725</v>
      </c>
    </row>
    <row r="1251" spans="1:15" x14ac:dyDescent="0.35">
      <c r="A1251" s="7" t="s">
        <v>371</v>
      </c>
      <c r="B1251" s="3">
        <v>10.59</v>
      </c>
      <c r="N1251" t="s">
        <v>480</v>
      </c>
      <c r="O1251">
        <v>10.66909090909091</v>
      </c>
    </row>
    <row r="1252" spans="1:15" x14ac:dyDescent="0.35">
      <c r="A1252" s="8" t="s">
        <v>652</v>
      </c>
      <c r="B1252" s="4">
        <v>10.57</v>
      </c>
      <c r="N1252" t="s">
        <v>28</v>
      </c>
      <c r="O1252">
        <v>10.650000000000004</v>
      </c>
    </row>
    <row r="1253" spans="1:15" x14ac:dyDescent="0.35">
      <c r="A1253" s="7" t="s">
        <v>572</v>
      </c>
      <c r="B1253" s="3">
        <v>10.5</v>
      </c>
      <c r="N1253" t="s">
        <v>98</v>
      </c>
      <c r="O1253">
        <v>10.597272727272728</v>
      </c>
    </row>
    <row r="1254" spans="1:15" x14ac:dyDescent="0.35">
      <c r="A1254" s="7" t="s">
        <v>661</v>
      </c>
      <c r="B1254" s="3">
        <v>10.47</v>
      </c>
      <c r="N1254" t="s">
        <v>652</v>
      </c>
      <c r="O1254">
        <v>10.554545454545453</v>
      </c>
    </row>
    <row r="1255" spans="1:15" x14ac:dyDescent="0.35">
      <c r="A1255" s="7" t="s">
        <v>659</v>
      </c>
      <c r="B1255" s="3">
        <v>10.4</v>
      </c>
      <c r="N1255" t="s">
        <v>279</v>
      </c>
      <c r="O1255">
        <v>10.54590909090909</v>
      </c>
    </row>
    <row r="1256" spans="1:15" x14ac:dyDescent="0.35">
      <c r="A1256" s="7" t="s">
        <v>356</v>
      </c>
      <c r="B1256" s="3">
        <v>10.32</v>
      </c>
      <c r="N1256" t="s">
        <v>498</v>
      </c>
      <c r="O1256">
        <v>10.518181818181816</v>
      </c>
    </row>
    <row r="1257" spans="1:15" x14ac:dyDescent="0.35">
      <c r="A1257" s="7" t="s">
        <v>279</v>
      </c>
      <c r="B1257" s="3">
        <v>10.220000000000001</v>
      </c>
      <c r="N1257" t="s">
        <v>347</v>
      </c>
      <c r="O1257">
        <v>10.39</v>
      </c>
    </row>
    <row r="1258" spans="1:15" x14ac:dyDescent="0.35">
      <c r="A1258" s="8" t="s">
        <v>448</v>
      </c>
      <c r="B1258" s="4">
        <v>10.220000000000001</v>
      </c>
      <c r="N1258" t="s">
        <v>373</v>
      </c>
      <c r="O1258">
        <v>10.389545454545454</v>
      </c>
    </row>
    <row r="1259" spans="1:15" x14ac:dyDescent="0.35">
      <c r="A1259" s="7" t="s">
        <v>836</v>
      </c>
      <c r="B1259" s="3">
        <v>10.17</v>
      </c>
      <c r="N1259" t="s">
        <v>572</v>
      </c>
      <c r="O1259">
        <v>10.384090909090908</v>
      </c>
    </row>
    <row r="1260" spans="1:15" x14ac:dyDescent="0.35">
      <c r="A1260" s="8" t="s">
        <v>244</v>
      </c>
      <c r="B1260" s="4">
        <v>10.15</v>
      </c>
      <c r="N1260" t="s">
        <v>41</v>
      </c>
      <c r="O1260">
        <v>10.362727272727273</v>
      </c>
    </row>
    <row r="1261" spans="1:15" x14ac:dyDescent="0.35">
      <c r="A1261" s="7" t="s">
        <v>39</v>
      </c>
      <c r="B1261" s="3">
        <v>10.14</v>
      </c>
      <c r="N1261" t="s">
        <v>214</v>
      </c>
      <c r="O1261">
        <v>10.261818181818182</v>
      </c>
    </row>
    <row r="1262" spans="1:15" x14ac:dyDescent="0.35">
      <c r="A1262" s="8" t="s">
        <v>622</v>
      </c>
      <c r="B1262" s="4">
        <v>10.050000000000001</v>
      </c>
      <c r="N1262" t="s">
        <v>661</v>
      </c>
      <c r="O1262">
        <v>10.256363636363636</v>
      </c>
    </row>
    <row r="1263" spans="1:15" x14ac:dyDescent="0.35">
      <c r="A1263" s="7" t="s">
        <v>214</v>
      </c>
      <c r="B1263" s="3">
        <v>9.93</v>
      </c>
      <c r="N1263" t="s">
        <v>3</v>
      </c>
      <c r="O1263">
        <v>10.199545454545456</v>
      </c>
    </row>
    <row r="1264" spans="1:15" x14ac:dyDescent="0.35">
      <c r="A1264" s="8" t="s">
        <v>480</v>
      </c>
      <c r="B1264" s="4">
        <v>9.91</v>
      </c>
      <c r="N1264" t="s">
        <v>836</v>
      </c>
      <c r="O1264">
        <v>10.182272727272725</v>
      </c>
    </row>
    <row r="1265" spans="1:15" x14ac:dyDescent="0.35">
      <c r="A1265" s="8" t="s">
        <v>723</v>
      </c>
      <c r="B1265" s="4">
        <v>9.85</v>
      </c>
      <c r="N1265" t="s">
        <v>426</v>
      </c>
      <c r="O1265">
        <v>10.133636363636365</v>
      </c>
    </row>
    <row r="1266" spans="1:15" x14ac:dyDescent="0.35">
      <c r="A1266" s="7" t="s">
        <v>3</v>
      </c>
      <c r="B1266" s="3">
        <v>9.8000000000000007</v>
      </c>
      <c r="N1266" t="s">
        <v>505</v>
      </c>
      <c r="O1266">
        <v>10.115000000000002</v>
      </c>
    </row>
    <row r="1267" spans="1:15" x14ac:dyDescent="0.35">
      <c r="A1267" s="7" t="s">
        <v>373</v>
      </c>
      <c r="B1267" s="3">
        <v>9.7899999999999991</v>
      </c>
      <c r="N1267" t="s">
        <v>39</v>
      </c>
      <c r="O1267">
        <v>10.110000000000001</v>
      </c>
    </row>
    <row r="1268" spans="1:15" x14ac:dyDescent="0.35">
      <c r="A1268" s="8" t="s">
        <v>255</v>
      </c>
      <c r="B1268" s="4">
        <v>9.75</v>
      </c>
      <c r="N1268" t="s">
        <v>622</v>
      </c>
      <c r="O1268">
        <v>10.099545454545456</v>
      </c>
    </row>
    <row r="1269" spans="1:15" x14ac:dyDescent="0.35">
      <c r="A1269" s="8" t="s">
        <v>218</v>
      </c>
      <c r="B1269" s="4">
        <v>9.74</v>
      </c>
      <c r="N1269" t="s">
        <v>443</v>
      </c>
      <c r="O1269">
        <v>10.038181818181819</v>
      </c>
    </row>
    <row r="1270" spans="1:15" x14ac:dyDescent="0.35">
      <c r="A1270" s="8" t="s">
        <v>466</v>
      </c>
      <c r="B1270" s="4">
        <v>9.74</v>
      </c>
      <c r="N1270" t="s">
        <v>244</v>
      </c>
      <c r="O1270">
        <v>9.8981818181818184</v>
      </c>
    </row>
    <row r="1271" spans="1:15" x14ac:dyDescent="0.35">
      <c r="A1271" s="7" t="s">
        <v>408</v>
      </c>
      <c r="B1271" s="3">
        <v>9.6999999999999993</v>
      </c>
      <c r="N1271" t="s">
        <v>202</v>
      </c>
      <c r="O1271">
        <v>9.8413636363636368</v>
      </c>
    </row>
    <row r="1272" spans="1:15" x14ac:dyDescent="0.35">
      <c r="A1272" s="7" t="s">
        <v>202</v>
      </c>
      <c r="B1272" s="3">
        <v>9.69</v>
      </c>
      <c r="N1272" t="s">
        <v>723</v>
      </c>
      <c r="O1272">
        <v>9.8045454545454547</v>
      </c>
    </row>
    <row r="1273" spans="1:15" x14ac:dyDescent="0.35">
      <c r="A1273" s="7" t="s">
        <v>725</v>
      </c>
      <c r="B1273" s="3">
        <v>9.59</v>
      </c>
      <c r="N1273" t="s">
        <v>255</v>
      </c>
      <c r="O1273">
        <v>9.790909090909091</v>
      </c>
    </row>
    <row r="1274" spans="1:15" x14ac:dyDescent="0.35">
      <c r="A1274" s="7" t="s">
        <v>702</v>
      </c>
      <c r="B1274" s="3">
        <v>9.58</v>
      </c>
      <c r="N1274" t="s">
        <v>368</v>
      </c>
      <c r="O1274">
        <v>9.6449999999999978</v>
      </c>
    </row>
    <row r="1275" spans="1:15" x14ac:dyDescent="0.35">
      <c r="A1275" s="8" t="s">
        <v>505</v>
      </c>
      <c r="B1275" s="4">
        <v>9.5500000000000007</v>
      </c>
      <c r="N1275" t="s">
        <v>408</v>
      </c>
      <c r="O1275">
        <v>9.536363636363637</v>
      </c>
    </row>
    <row r="1276" spans="1:15" x14ac:dyDescent="0.35">
      <c r="A1276" s="7" t="s">
        <v>128</v>
      </c>
      <c r="B1276" s="3">
        <v>9.5399999999999991</v>
      </c>
      <c r="N1276" t="s">
        <v>448</v>
      </c>
      <c r="O1276">
        <v>9.4936363636363623</v>
      </c>
    </row>
    <row r="1277" spans="1:15" x14ac:dyDescent="0.35">
      <c r="A1277" s="7" t="s">
        <v>498</v>
      </c>
      <c r="B1277" s="3">
        <v>9.5399999999999991</v>
      </c>
      <c r="N1277" t="s">
        <v>702</v>
      </c>
      <c r="O1277">
        <v>9.4031818181818192</v>
      </c>
    </row>
    <row r="1278" spans="1:15" x14ac:dyDescent="0.35">
      <c r="A1278" s="7" t="s">
        <v>368</v>
      </c>
      <c r="B1278" s="3">
        <v>9.52</v>
      </c>
      <c r="N1278" t="s">
        <v>260</v>
      </c>
      <c r="O1278">
        <v>9.2663636363636357</v>
      </c>
    </row>
    <row r="1279" spans="1:15" x14ac:dyDescent="0.35">
      <c r="A1279" s="7" t="s">
        <v>360</v>
      </c>
      <c r="B1279" s="3">
        <v>9.49</v>
      </c>
      <c r="N1279" t="s">
        <v>725</v>
      </c>
      <c r="O1279">
        <v>9.2363636363636363</v>
      </c>
    </row>
    <row r="1280" spans="1:15" x14ac:dyDescent="0.35">
      <c r="A1280" s="7" t="s">
        <v>260</v>
      </c>
      <c r="B1280" s="3">
        <v>9.3800000000000008</v>
      </c>
      <c r="N1280" t="s">
        <v>128</v>
      </c>
      <c r="O1280">
        <v>9.1918181818181814</v>
      </c>
    </row>
    <row r="1281" spans="1:15" x14ac:dyDescent="0.35">
      <c r="A1281" s="7" t="s">
        <v>42</v>
      </c>
      <c r="B1281" s="3">
        <v>9.31</v>
      </c>
      <c r="N1281" t="s">
        <v>42</v>
      </c>
      <c r="O1281">
        <v>9.1550000000000011</v>
      </c>
    </row>
    <row r="1282" spans="1:15" x14ac:dyDescent="0.35">
      <c r="A1282" s="7" t="s">
        <v>219</v>
      </c>
      <c r="B1282" s="3">
        <v>9.31</v>
      </c>
      <c r="N1282" t="s">
        <v>418</v>
      </c>
      <c r="O1282">
        <v>9.14</v>
      </c>
    </row>
    <row r="1283" spans="1:15" x14ac:dyDescent="0.35">
      <c r="A1283" s="7" t="s">
        <v>142</v>
      </c>
      <c r="B1283" s="3">
        <v>9.2799999999999994</v>
      </c>
      <c r="N1283" t="s">
        <v>209</v>
      </c>
      <c r="O1283">
        <v>9.1140909090909066</v>
      </c>
    </row>
    <row r="1284" spans="1:15" x14ac:dyDescent="0.35">
      <c r="A1284" s="8" t="s">
        <v>672</v>
      </c>
      <c r="B1284" s="4">
        <v>9.26</v>
      </c>
      <c r="N1284" t="s">
        <v>219</v>
      </c>
      <c r="O1284">
        <v>9.0999999999999979</v>
      </c>
    </row>
    <row r="1285" spans="1:15" x14ac:dyDescent="0.35">
      <c r="A1285" s="8" t="s">
        <v>137</v>
      </c>
      <c r="B1285" s="4">
        <v>9.16</v>
      </c>
      <c r="N1285" t="s">
        <v>360</v>
      </c>
      <c r="O1285">
        <v>9.0931818181818205</v>
      </c>
    </row>
    <row r="1286" spans="1:15" x14ac:dyDescent="0.35">
      <c r="A1286" s="8" t="s">
        <v>418</v>
      </c>
      <c r="B1286" s="4">
        <v>9.15</v>
      </c>
      <c r="N1286" t="s">
        <v>142</v>
      </c>
      <c r="O1286">
        <v>8.9786363636363618</v>
      </c>
    </row>
    <row r="1287" spans="1:15" x14ac:dyDescent="0.35">
      <c r="A1287" s="7" t="s">
        <v>732</v>
      </c>
      <c r="B1287" s="3">
        <v>9.01</v>
      </c>
      <c r="N1287" t="s">
        <v>137</v>
      </c>
      <c r="O1287">
        <v>8.9718181818181808</v>
      </c>
    </row>
    <row r="1288" spans="1:15" x14ac:dyDescent="0.35">
      <c r="A1288" s="8" t="s">
        <v>209</v>
      </c>
      <c r="B1288" s="4">
        <v>8.92</v>
      </c>
      <c r="N1288" t="s">
        <v>732</v>
      </c>
      <c r="O1288">
        <v>8.9077272727272696</v>
      </c>
    </row>
    <row r="1289" spans="1:15" x14ac:dyDescent="0.35">
      <c r="A1289" s="7" t="s">
        <v>527</v>
      </c>
      <c r="B1289" s="3">
        <v>8.9</v>
      </c>
      <c r="N1289" t="s">
        <v>672</v>
      </c>
      <c r="O1289">
        <v>8.8868181818181817</v>
      </c>
    </row>
    <row r="1290" spans="1:15" x14ac:dyDescent="0.35">
      <c r="A1290" s="8" t="s">
        <v>56</v>
      </c>
      <c r="B1290" s="4">
        <v>8.86</v>
      </c>
      <c r="N1290" t="s">
        <v>73</v>
      </c>
      <c r="O1290">
        <v>8.8490909090909096</v>
      </c>
    </row>
    <row r="1291" spans="1:15" x14ac:dyDescent="0.35">
      <c r="A1291" s="8" t="s">
        <v>201</v>
      </c>
      <c r="B1291" s="4">
        <v>8.7200000000000006</v>
      </c>
      <c r="N1291" t="s">
        <v>301</v>
      </c>
      <c r="O1291">
        <v>8.7577272727272728</v>
      </c>
    </row>
    <row r="1292" spans="1:15" x14ac:dyDescent="0.35">
      <c r="A1292" s="7" t="s">
        <v>51</v>
      </c>
      <c r="B1292" s="3">
        <v>8.6999999999999993</v>
      </c>
      <c r="N1292" t="s">
        <v>527</v>
      </c>
      <c r="O1292">
        <v>8.7568181818181809</v>
      </c>
    </row>
    <row r="1293" spans="1:15" x14ac:dyDescent="0.35">
      <c r="A1293" s="7" t="s">
        <v>186</v>
      </c>
      <c r="B1293" s="3">
        <v>8.69</v>
      </c>
      <c r="N1293" t="s">
        <v>631</v>
      </c>
      <c r="O1293">
        <v>8.5395454545454541</v>
      </c>
    </row>
    <row r="1294" spans="1:15" x14ac:dyDescent="0.35">
      <c r="A1294" s="8" t="s">
        <v>141</v>
      </c>
      <c r="B1294" s="4">
        <v>8.6</v>
      </c>
      <c r="N1294" t="s">
        <v>186</v>
      </c>
      <c r="O1294">
        <v>8.5331818181818182</v>
      </c>
    </row>
    <row r="1295" spans="1:15" x14ac:dyDescent="0.35">
      <c r="A1295" s="7" t="s">
        <v>631</v>
      </c>
      <c r="B1295" s="3">
        <v>8.49</v>
      </c>
      <c r="N1295" t="s">
        <v>56</v>
      </c>
      <c r="O1295">
        <v>8.5036363636363621</v>
      </c>
    </row>
    <row r="1296" spans="1:15" x14ac:dyDescent="0.35">
      <c r="A1296" s="7" t="s">
        <v>35</v>
      </c>
      <c r="B1296" s="3">
        <v>8.34</v>
      </c>
      <c r="N1296" t="s">
        <v>141</v>
      </c>
      <c r="O1296">
        <v>8.5022727272727288</v>
      </c>
    </row>
    <row r="1297" spans="1:15" x14ac:dyDescent="0.35">
      <c r="A1297" s="8" t="s">
        <v>293</v>
      </c>
      <c r="B1297" s="4">
        <v>8.1999999999999993</v>
      </c>
      <c r="N1297" t="s">
        <v>8</v>
      </c>
      <c r="O1297">
        <v>8.4009090909090887</v>
      </c>
    </row>
    <row r="1298" spans="1:15" x14ac:dyDescent="0.35">
      <c r="A1298" s="7" t="s">
        <v>182</v>
      </c>
      <c r="B1298" s="3">
        <v>8.0399999999999991</v>
      </c>
      <c r="N1298" t="s">
        <v>51</v>
      </c>
      <c r="O1298">
        <v>8.3040909090909096</v>
      </c>
    </row>
    <row r="1299" spans="1:15" x14ac:dyDescent="0.35">
      <c r="A1299" s="8" t="s">
        <v>396</v>
      </c>
      <c r="B1299" s="4">
        <v>8.01</v>
      </c>
      <c r="N1299" t="s">
        <v>396</v>
      </c>
      <c r="O1299">
        <v>8.3027272727272727</v>
      </c>
    </row>
    <row r="1300" spans="1:15" x14ac:dyDescent="0.35">
      <c r="A1300" s="8" t="s">
        <v>681</v>
      </c>
      <c r="B1300" s="4">
        <v>8.01</v>
      </c>
      <c r="N1300" t="s">
        <v>681</v>
      </c>
      <c r="O1300">
        <v>8.3027272727272727</v>
      </c>
    </row>
    <row r="1301" spans="1:15" x14ac:dyDescent="0.35">
      <c r="A1301" s="8" t="s">
        <v>8</v>
      </c>
      <c r="B1301" s="4">
        <v>7.98</v>
      </c>
      <c r="N1301" t="s">
        <v>201</v>
      </c>
      <c r="O1301">
        <v>8.2490909090909081</v>
      </c>
    </row>
    <row r="1302" spans="1:15" x14ac:dyDescent="0.35">
      <c r="A1302" s="7" t="s">
        <v>511</v>
      </c>
      <c r="B1302" s="3">
        <v>7.93</v>
      </c>
      <c r="N1302" t="s">
        <v>402</v>
      </c>
      <c r="O1302">
        <v>8.2354545454545445</v>
      </c>
    </row>
    <row r="1303" spans="1:15" x14ac:dyDescent="0.35">
      <c r="A1303" s="7" t="s">
        <v>41</v>
      </c>
      <c r="B1303" s="3">
        <v>7.91</v>
      </c>
      <c r="N1303" t="s">
        <v>648</v>
      </c>
      <c r="O1303">
        <v>8.1245454545454567</v>
      </c>
    </row>
    <row r="1304" spans="1:15" x14ac:dyDescent="0.35">
      <c r="A1304" s="8" t="s">
        <v>402</v>
      </c>
      <c r="B1304" s="4">
        <v>7.76</v>
      </c>
      <c r="N1304" t="s">
        <v>35</v>
      </c>
      <c r="O1304">
        <v>8.08</v>
      </c>
    </row>
    <row r="1305" spans="1:15" x14ac:dyDescent="0.35">
      <c r="A1305" s="7" t="s">
        <v>570</v>
      </c>
      <c r="B1305" s="3">
        <v>7.62</v>
      </c>
      <c r="N1305" t="s">
        <v>182</v>
      </c>
      <c r="O1305">
        <v>7.9668181818181827</v>
      </c>
    </row>
    <row r="1306" spans="1:15" x14ac:dyDescent="0.35">
      <c r="A1306" s="7" t="s">
        <v>97</v>
      </c>
      <c r="B1306" s="3">
        <v>7.61</v>
      </c>
      <c r="N1306" t="s">
        <v>197</v>
      </c>
      <c r="O1306">
        <v>7.8422727272727286</v>
      </c>
    </row>
    <row r="1307" spans="1:15" x14ac:dyDescent="0.35">
      <c r="A1307" s="8" t="s">
        <v>323</v>
      </c>
      <c r="B1307" s="4">
        <v>7.6</v>
      </c>
      <c r="N1307" t="s">
        <v>511</v>
      </c>
      <c r="O1307">
        <v>7.8240909090909119</v>
      </c>
    </row>
    <row r="1308" spans="1:15" x14ac:dyDescent="0.35">
      <c r="A1308" s="8" t="s">
        <v>125</v>
      </c>
      <c r="B1308" s="4">
        <v>7.59</v>
      </c>
      <c r="N1308" t="s">
        <v>97</v>
      </c>
      <c r="O1308">
        <v>7.702727272727274</v>
      </c>
    </row>
    <row r="1309" spans="1:15" x14ac:dyDescent="0.35">
      <c r="A1309" s="7" t="s">
        <v>197</v>
      </c>
      <c r="B1309" s="3">
        <v>7.59</v>
      </c>
      <c r="N1309" t="s">
        <v>592</v>
      </c>
      <c r="O1309">
        <v>7.6836363636363645</v>
      </c>
    </row>
    <row r="1310" spans="1:15" x14ac:dyDescent="0.35">
      <c r="A1310" s="7" t="s">
        <v>134</v>
      </c>
      <c r="B1310" s="3">
        <v>7.5</v>
      </c>
      <c r="N1310" t="s">
        <v>125</v>
      </c>
      <c r="O1310">
        <v>7.4640909090909107</v>
      </c>
    </row>
    <row r="1311" spans="1:15" x14ac:dyDescent="0.35">
      <c r="A1311" s="8" t="s">
        <v>648</v>
      </c>
      <c r="B1311" s="4">
        <v>7.43</v>
      </c>
      <c r="N1311" t="s">
        <v>570</v>
      </c>
      <c r="O1311">
        <v>7.4281818181818187</v>
      </c>
    </row>
    <row r="1312" spans="1:15" x14ac:dyDescent="0.35">
      <c r="A1312" s="7" t="s">
        <v>401</v>
      </c>
      <c r="B1312" s="3">
        <v>7.41</v>
      </c>
      <c r="N1312" t="s">
        <v>293</v>
      </c>
      <c r="O1312">
        <v>7.3545454545454536</v>
      </c>
    </row>
    <row r="1313" spans="1:15" x14ac:dyDescent="0.35">
      <c r="A1313" s="7" t="s">
        <v>57</v>
      </c>
      <c r="B1313" s="3">
        <v>7.24</v>
      </c>
      <c r="N1313" t="s">
        <v>57</v>
      </c>
      <c r="O1313">
        <v>7.3468181818181826</v>
      </c>
    </row>
    <row r="1314" spans="1:15" x14ac:dyDescent="0.35">
      <c r="A1314" s="7" t="s">
        <v>73</v>
      </c>
      <c r="B1314" s="3">
        <v>7.16</v>
      </c>
      <c r="N1314" t="s">
        <v>134</v>
      </c>
      <c r="O1314">
        <v>7.3286363636363623</v>
      </c>
    </row>
    <row r="1315" spans="1:15" x14ac:dyDescent="0.35">
      <c r="A1315" s="7" t="s">
        <v>117</v>
      </c>
      <c r="B1315" s="3">
        <v>7.13</v>
      </c>
      <c r="N1315" t="s">
        <v>323</v>
      </c>
      <c r="O1315">
        <v>7.2718181818181815</v>
      </c>
    </row>
    <row r="1316" spans="1:15" x14ac:dyDescent="0.35">
      <c r="A1316" s="7" t="s">
        <v>81</v>
      </c>
      <c r="B1316" s="3">
        <v>7.12</v>
      </c>
      <c r="N1316" t="s">
        <v>401</v>
      </c>
      <c r="O1316">
        <v>7.2604545454545448</v>
      </c>
    </row>
    <row r="1317" spans="1:15" x14ac:dyDescent="0.35">
      <c r="A1317" s="8" t="s">
        <v>476</v>
      </c>
      <c r="B1317" s="4">
        <v>7.02</v>
      </c>
      <c r="N1317" t="s">
        <v>811</v>
      </c>
      <c r="O1317">
        <v>7.2518181818181811</v>
      </c>
    </row>
    <row r="1318" spans="1:15" x14ac:dyDescent="0.35">
      <c r="A1318" s="7" t="s">
        <v>811</v>
      </c>
      <c r="B1318" s="3">
        <v>7.01</v>
      </c>
      <c r="N1318" t="s">
        <v>287</v>
      </c>
      <c r="O1318">
        <v>7.2518181818181811</v>
      </c>
    </row>
    <row r="1319" spans="1:15" x14ac:dyDescent="0.35">
      <c r="A1319" s="8" t="s">
        <v>287</v>
      </c>
      <c r="B1319" s="4">
        <v>7.01</v>
      </c>
      <c r="N1319" t="s">
        <v>629</v>
      </c>
      <c r="O1319">
        <v>7.1981818181818173</v>
      </c>
    </row>
    <row r="1320" spans="1:15" x14ac:dyDescent="0.35">
      <c r="A1320" s="7" t="s">
        <v>680</v>
      </c>
      <c r="B1320" s="3">
        <v>7.01</v>
      </c>
      <c r="N1320" t="s">
        <v>81</v>
      </c>
      <c r="O1320">
        <v>7.169090909090909</v>
      </c>
    </row>
    <row r="1321" spans="1:15" x14ac:dyDescent="0.35">
      <c r="A1321" s="8" t="s">
        <v>720</v>
      </c>
      <c r="B1321" s="4">
        <v>6.95</v>
      </c>
      <c r="N1321" t="s">
        <v>519</v>
      </c>
      <c r="O1321">
        <v>7.0222727272727292</v>
      </c>
    </row>
    <row r="1322" spans="1:15" x14ac:dyDescent="0.35">
      <c r="A1322" s="7" t="s">
        <v>519</v>
      </c>
      <c r="B1322" s="3">
        <v>6.77</v>
      </c>
      <c r="N1322" t="s">
        <v>117</v>
      </c>
      <c r="O1322">
        <v>6.9572727272727271</v>
      </c>
    </row>
    <row r="1323" spans="1:15" x14ac:dyDescent="0.35">
      <c r="A1323" s="8" t="s">
        <v>55</v>
      </c>
      <c r="B1323" s="4">
        <v>6.73</v>
      </c>
      <c r="N1323" t="s">
        <v>680</v>
      </c>
      <c r="O1323">
        <v>6.9209090909090891</v>
      </c>
    </row>
    <row r="1324" spans="1:15" x14ac:dyDescent="0.35">
      <c r="A1324" s="8" t="s">
        <v>352</v>
      </c>
      <c r="B1324" s="4">
        <v>6.67</v>
      </c>
      <c r="N1324" t="s">
        <v>55</v>
      </c>
      <c r="O1324">
        <v>6.9186363636363639</v>
      </c>
    </row>
    <row r="1325" spans="1:15" x14ac:dyDescent="0.35">
      <c r="A1325" s="8" t="s">
        <v>629</v>
      </c>
      <c r="B1325" s="4">
        <v>6.66</v>
      </c>
      <c r="N1325" t="s">
        <v>476</v>
      </c>
      <c r="O1325">
        <v>6.8195454545454544</v>
      </c>
    </row>
    <row r="1326" spans="1:15" x14ac:dyDescent="0.35">
      <c r="A1326" s="8" t="s">
        <v>838</v>
      </c>
      <c r="B1326" s="4">
        <v>6.64</v>
      </c>
      <c r="N1326" t="s">
        <v>205</v>
      </c>
      <c r="O1326">
        <v>6.7863636363636353</v>
      </c>
    </row>
    <row r="1327" spans="1:15" x14ac:dyDescent="0.35">
      <c r="A1327" s="7" t="s">
        <v>205</v>
      </c>
      <c r="B1327" s="3">
        <v>6.61</v>
      </c>
      <c r="N1327" t="s">
        <v>720</v>
      </c>
      <c r="O1327">
        <v>6.75</v>
      </c>
    </row>
    <row r="1328" spans="1:15" x14ac:dyDescent="0.35">
      <c r="A1328" s="7" t="s">
        <v>227</v>
      </c>
      <c r="B1328" s="3">
        <v>6.5</v>
      </c>
      <c r="N1328" t="s">
        <v>838</v>
      </c>
      <c r="O1328">
        <v>6.6709090909090909</v>
      </c>
    </row>
    <row r="1329" spans="1:15" x14ac:dyDescent="0.35">
      <c r="A1329" s="7" t="s">
        <v>283</v>
      </c>
      <c r="B1329" s="3">
        <v>6.5</v>
      </c>
      <c r="N1329" t="s">
        <v>420</v>
      </c>
      <c r="O1329">
        <v>6.5263636363636373</v>
      </c>
    </row>
    <row r="1330" spans="1:15" x14ac:dyDescent="0.35">
      <c r="A1330" s="8" t="s">
        <v>454</v>
      </c>
      <c r="B1330" s="4">
        <v>6.48</v>
      </c>
      <c r="N1330" t="s">
        <v>352</v>
      </c>
      <c r="O1330">
        <v>6.4704545454545466</v>
      </c>
    </row>
    <row r="1331" spans="1:15" x14ac:dyDescent="0.35">
      <c r="A1331" s="7" t="s">
        <v>549</v>
      </c>
      <c r="B1331" s="3">
        <v>6.48</v>
      </c>
      <c r="N1331" t="s">
        <v>549</v>
      </c>
      <c r="O1331">
        <v>6.4668181818181809</v>
      </c>
    </row>
    <row r="1332" spans="1:15" x14ac:dyDescent="0.35">
      <c r="A1332" s="7" t="s">
        <v>364</v>
      </c>
      <c r="B1332" s="3">
        <v>6.46</v>
      </c>
      <c r="N1332" t="s">
        <v>454</v>
      </c>
      <c r="O1332">
        <v>6.4449999999999994</v>
      </c>
    </row>
    <row r="1333" spans="1:15" x14ac:dyDescent="0.35">
      <c r="A1333" s="7" t="s">
        <v>477</v>
      </c>
      <c r="B1333" s="3">
        <v>6.42</v>
      </c>
      <c r="N1333" t="s">
        <v>88</v>
      </c>
      <c r="O1333">
        <v>6.3690909090909082</v>
      </c>
    </row>
    <row r="1334" spans="1:15" x14ac:dyDescent="0.35">
      <c r="A1334" s="8" t="s">
        <v>420</v>
      </c>
      <c r="B1334" s="4">
        <v>6.4</v>
      </c>
      <c r="N1334" t="s">
        <v>283</v>
      </c>
      <c r="O1334">
        <v>6.3086363636363636</v>
      </c>
    </row>
    <row r="1335" spans="1:15" x14ac:dyDescent="0.35">
      <c r="A1335" s="8" t="s">
        <v>118</v>
      </c>
      <c r="B1335" s="4">
        <v>6.39</v>
      </c>
      <c r="N1335" t="s">
        <v>126</v>
      </c>
      <c r="O1335">
        <v>6.3081818181818186</v>
      </c>
    </row>
    <row r="1336" spans="1:15" x14ac:dyDescent="0.35">
      <c r="A1336" s="7" t="s">
        <v>126</v>
      </c>
      <c r="B1336" s="3">
        <v>6.39</v>
      </c>
      <c r="N1336" t="s">
        <v>266</v>
      </c>
      <c r="O1336">
        <v>6.2981818181818179</v>
      </c>
    </row>
    <row r="1337" spans="1:15" x14ac:dyDescent="0.35">
      <c r="A1337" s="7" t="s">
        <v>266</v>
      </c>
      <c r="B1337" s="3">
        <v>6.35</v>
      </c>
      <c r="N1337" t="s">
        <v>597</v>
      </c>
      <c r="O1337">
        <v>6.2436363636363632</v>
      </c>
    </row>
    <row r="1338" spans="1:15" x14ac:dyDescent="0.35">
      <c r="A1338" s="8" t="s">
        <v>230</v>
      </c>
      <c r="B1338" s="4">
        <v>6.29</v>
      </c>
      <c r="N1338" t="s">
        <v>364</v>
      </c>
      <c r="O1338">
        <v>6.2131818181818179</v>
      </c>
    </row>
    <row r="1339" spans="1:15" x14ac:dyDescent="0.35">
      <c r="A1339" s="7" t="s">
        <v>597</v>
      </c>
      <c r="B1339" s="3">
        <v>6.29</v>
      </c>
      <c r="N1339" t="s">
        <v>118</v>
      </c>
      <c r="O1339">
        <v>6.2072727272727271</v>
      </c>
    </row>
    <row r="1340" spans="1:15" x14ac:dyDescent="0.35">
      <c r="A1340" s="7" t="s">
        <v>564</v>
      </c>
      <c r="B1340" s="3">
        <v>6.28</v>
      </c>
      <c r="N1340" t="s">
        <v>227</v>
      </c>
      <c r="O1340">
        <v>6.1768181818181827</v>
      </c>
    </row>
    <row r="1341" spans="1:15" x14ac:dyDescent="0.35">
      <c r="A1341" s="8" t="s">
        <v>478</v>
      </c>
      <c r="B1341" s="4">
        <v>6.23</v>
      </c>
      <c r="N1341" t="s">
        <v>96</v>
      </c>
      <c r="O1341">
        <v>6.1722727272727269</v>
      </c>
    </row>
    <row r="1342" spans="1:15" x14ac:dyDescent="0.35">
      <c r="A1342" s="8" t="s">
        <v>121</v>
      </c>
      <c r="B1342" s="4">
        <v>6.16</v>
      </c>
      <c r="N1342" t="s">
        <v>230</v>
      </c>
      <c r="O1342">
        <v>6.1536363636363633</v>
      </c>
    </row>
    <row r="1343" spans="1:15" x14ac:dyDescent="0.35">
      <c r="A1343" s="7" t="s">
        <v>451</v>
      </c>
      <c r="B1343" s="3">
        <v>6.1</v>
      </c>
      <c r="N1343" t="s">
        <v>339</v>
      </c>
      <c r="O1343">
        <v>6.1349999999999989</v>
      </c>
    </row>
    <row r="1344" spans="1:15" x14ac:dyDescent="0.35">
      <c r="A1344" s="7" t="s">
        <v>554</v>
      </c>
      <c r="B1344" s="3">
        <v>6.09</v>
      </c>
      <c r="N1344" t="s">
        <v>518</v>
      </c>
      <c r="O1344">
        <v>6.1031818181818185</v>
      </c>
    </row>
    <row r="1345" spans="1:15" x14ac:dyDescent="0.35">
      <c r="A1345" s="8" t="s">
        <v>265</v>
      </c>
      <c r="B1345" s="4">
        <v>6</v>
      </c>
      <c r="N1345" t="s">
        <v>477</v>
      </c>
      <c r="O1345">
        <v>6.0963636363636349</v>
      </c>
    </row>
    <row r="1346" spans="1:15" x14ac:dyDescent="0.35">
      <c r="A1346" s="8" t="s">
        <v>518</v>
      </c>
      <c r="B1346" s="4">
        <v>5.99</v>
      </c>
      <c r="N1346" t="s">
        <v>554</v>
      </c>
      <c r="O1346">
        <v>6.0222727272727274</v>
      </c>
    </row>
    <row r="1347" spans="1:15" x14ac:dyDescent="0.35">
      <c r="A1347" s="8" t="s">
        <v>88</v>
      </c>
      <c r="B1347" s="4">
        <v>5.95</v>
      </c>
      <c r="N1347" t="s">
        <v>564</v>
      </c>
      <c r="O1347">
        <v>6.0018181818181811</v>
      </c>
    </row>
    <row r="1348" spans="1:15" x14ac:dyDescent="0.35">
      <c r="A1348" s="8" t="s">
        <v>675</v>
      </c>
      <c r="B1348" s="4">
        <v>5.95</v>
      </c>
      <c r="N1348" t="s">
        <v>508</v>
      </c>
      <c r="O1348">
        <v>5.9650000000000007</v>
      </c>
    </row>
    <row r="1349" spans="1:15" x14ac:dyDescent="0.35">
      <c r="A1349" s="8" t="s">
        <v>339</v>
      </c>
      <c r="B1349" s="4">
        <v>5.92</v>
      </c>
      <c r="N1349" t="s">
        <v>265</v>
      </c>
      <c r="O1349">
        <v>5.9568181818181811</v>
      </c>
    </row>
    <row r="1350" spans="1:15" x14ac:dyDescent="0.35">
      <c r="A1350" s="7" t="s">
        <v>434</v>
      </c>
      <c r="B1350" s="3">
        <v>5.9</v>
      </c>
      <c r="N1350" t="s">
        <v>675</v>
      </c>
      <c r="O1350">
        <v>5.9454545454545444</v>
      </c>
    </row>
    <row r="1351" spans="1:15" x14ac:dyDescent="0.35">
      <c r="A1351" s="7" t="s">
        <v>271</v>
      </c>
      <c r="B1351" s="3">
        <v>5.81</v>
      </c>
      <c r="N1351" t="s">
        <v>531</v>
      </c>
      <c r="O1351">
        <v>5.9422727272727265</v>
      </c>
    </row>
    <row r="1352" spans="1:15" x14ac:dyDescent="0.35">
      <c r="A1352" s="8" t="s">
        <v>733</v>
      </c>
      <c r="B1352" s="4">
        <v>5.78</v>
      </c>
      <c r="N1352" t="s">
        <v>451</v>
      </c>
      <c r="O1352">
        <v>5.9059090909090912</v>
      </c>
    </row>
    <row r="1353" spans="1:15" x14ac:dyDescent="0.35">
      <c r="A1353" s="7" t="s">
        <v>54</v>
      </c>
      <c r="B1353" s="3">
        <v>5.76</v>
      </c>
      <c r="N1353" t="s">
        <v>434</v>
      </c>
      <c r="O1353">
        <v>5.8036363636363637</v>
      </c>
    </row>
    <row r="1354" spans="1:15" x14ac:dyDescent="0.35">
      <c r="A1354" s="7" t="s">
        <v>633</v>
      </c>
      <c r="B1354" s="3">
        <v>5.76</v>
      </c>
      <c r="N1354" t="s">
        <v>633</v>
      </c>
      <c r="O1354">
        <v>5.7609090909090916</v>
      </c>
    </row>
    <row r="1355" spans="1:15" x14ac:dyDescent="0.35">
      <c r="A1355" s="8" t="s">
        <v>96</v>
      </c>
      <c r="B1355" s="4">
        <v>5.69</v>
      </c>
      <c r="N1355" t="s">
        <v>121</v>
      </c>
      <c r="O1355">
        <v>5.746363636363637</v>
      </c>
    </row>
    <row r="1356" spans="1:15" x14ac:dyDescent="0.35">
      <c r="A1356" s="7" t="s">
        <v>521</v>
      </c>
      <c r="B1356" s="3">
        <v>5.63</v>
      </c>
      <c r="N1356" t="s">
        <v>478</v>
      </c>
      <c r="O1356">
        <v>5.6627272727272731</v>
      </c>
    </row>
    <row r="1357" spans="1:15" x14ac:dyDescent="0.35">
      <c r="A1357" s="8" t="s">
        <v>452</v>
      </c>
      <c r="B1357" s="4">
        <v>5.62</v>
      </c>
      <c r="N1357" t="s">
        <v>271</v>
      </c>
      <c r="O1357">
        <v>5.6554545454545453</v>
      </c>
    </row>
    <row r="1358" spans="1:15" x14ac:dyDescent="0.35">
      <c r="A1358" s="7" t="s">
        <v>531</v>
      </c>
      <c r="B1358" s="3">
        <v>5.56</v>
      </c>
      <c r="N1358" t="s">
        <v>211</v>
      </c>
      <c r="O1358">
        <v>5.6509090909090922</v>
      </c>
    </row>
    <row r="1359" spans="1:15" x14ac:dyDescent="0.35">
      <c r="A1359" s="7" t="s">
        <v>250</v>
      </c>
      <c r="B1359" s="3">
        <v>5.51</v>
      </c>
      <c r="N1359" t="s">
        <v>733</v>
      </c>
      <c r="O1359">
        <v>5.633181818181817</v>
      </c>
    </row>
    <row r="1360" spans="1:15" x14ac:dyDescent="0.35">
      <c r="A1360" s="8" t="s">
        <v>196</v>
      </c>
      <c r="B1360" s="4">
        <v>5.47</v>
      </c>
      <c r="N1360" t="s">
        <v>521</v>
      </c>
      <c r="O1360">
        <v>5.6281818181818171</v>
      </c>
    </row>
    <row r="1361" spans="1:15" x14ac:dyDescent="0.35">
      <c r="A1361" s="8" t="s">
        <v>460</v>
      </c>
      <c r="B1361" s="4">
        <v>5.46</v>
      </c>
      <c r="N1361" t="s">
        <v>16</v>
      </c>
      <c r="O1361">
        <v>5.6186363636363632</v>
      </c>
    </row>
    <row r="1362" spans="1:15" x14ac:dyDescent="0.35">
      <c r="A1362" s="7" t="s">
        <v>21</v>
      </c>
      <c r="B1362" s="3">
        <v>5.45</v>
      </c>
      <c r="N1362" t="s">
        <v>250</v>
      </c>
      <c r="O1362">
        <v>5.5768181818181821</v>
      </c>
    </row>
    <row r="1363" spans="1:15" x14ac:dyDescent="0.35">
      <c r="A1363" s="8" t="s">
        <v>617</v>
      </c>
      <c r="B1363" s="4">
        <v>5.44</v>
      </c>
      <c r="N1363" t="s">
        <v>452</v>
      </c>
      <c r="O1363">
        <v>5.5327272727272732</v>
      </c>
    </row>
    <row r="1364" spans="1:15" x14ac:dyDescent="0.35">
      <c r="A1364" s="8" t="s">
        <v>211</v>
      </c>
      <c r="B1364" s="4">
        <v>5.4</v>
      </c>
      <c r="N1364" t="s">
        <v>11</v>
      </c>
      <c r="O1364">
        <v>5.5304545454545453</v>
      </c>
    </row>
    <row r="1365" spans="1:15" x14ac:dyDescent="0.35">
      <c r="A1365" s="7" t="s">
        <v>235</v>
      </c>
      <c r="B1365" s="3">
        <v>5.24</v>
      </c>
      <c r="N1365" t="s">
        <v>196</v>
      </c>
      <c r="O1365">
        <v>5.51</v>
      </c>
    </row>
    <row r="1366" spans="1:15" x14ac:dyDescent="0.35">
      <c r="A1366" s="7" t="s">
        <v>367</v>
      </c>
      <c r="B1366" s="3">
        <v>5.22</v>
      </c>
      <c r="N1366" t="s">
        <v>54</v>
      </c>
      <c r="O1366">
        <v>5.5090909090909097</v>
      </c>
    </row>
    <row r="1367" spans="1:15" x14ac:dyDescent="0.35">
      <c r="A1367" s="8" t="s">
        <v>349</v>
      </c>
      <c r="B1367" s="4">
        <v>5.21</v>
      </c>
      <c r="N1367" t="s">
        <v>460</v>
      </c>
      <c r="O1367">
        <v>5.5054545454545467</v>
      </c>
    </row>
    <row r="1368" spans="1:15" x14ac:dyDescent="0.35">
      <c r="A1368" s="7" t="s">
        <v>449</v>
      </c>
      <c r="B1368" s="3">
        <v>5.16</v>
      </c>
      <c r="N1368" t="s">
        <v>21</v>
      </c>
      <c r="O1368">
        <v>5.450000000000002</v>
      </c>
    </row>
    <row r="1369" spans="1:15" x14ac:dyDescent="0.35">
      <c r="A1369" s="8" t="s">
        <v>4</v>
      </c>
      <c r="B1369" s="4">
        <v>5.13</v>
      </c>
      <c r="N1369" t="s">
        <v>367</v>
      </c>
      <c r="O1369">
        <v>5.4413636363636364</v>
      </c>
    </row>
    <row r="1370" spans="1:15" x14ac:dyDescent="0.35">
      <c r="A1370" s="7" t="s">
        <v>508</v>
      </c>
      <c r="B1370" s="3">
        <v>5.1100000000000003</v>
      </c>
      <c r="N1370" t="s">
        <v>607</v>
      </c>
      <c r="O1370">
        <v>5.4313636363636357</v>
      </c>
    </row>
    <row r="1371" spans="1:15" x14ac:dyDescent="0.35">
      <c r="A1371" s="7" t="s">
        <v>91</v>
      </c>
      <c r="B1371" s="3">
        <v>4.9000000000000004</v>
      </c>
      <c r="N1371" t="s">
        <v>617</v>
      </c>
      <c r="O1371">
        <v>5.3100000000000005</v>
      </c>
    </row>
    <row r="1372" spans="1:15" x14ac:dyDescent="0.35">
      <c r="A1372" s="8" t="s">
        <v>555</v>
      </c>
      <c r="B1372" s="4">
        <v>4.8899999999999997</v>
      </c>
      <c r="N1372" t="s">
        <v>349</v>
      </c>
      <c r="O1372">
        <v>5.213181818181817</v>
      </c>
    </row>
    <row r="1373" spans="1:15" x14ac:dyDescent="0.35">
      <c r="A1373" s="8" t="s">
        <v>321</v>
      </c>
      <c r="B1373" s="4">
        <v>4.87</v>
      </c>
      <c r="N1373" t="s">
        <v>235</v>
      </c>
      <c r="O1373">
        <v>5.2009090909090903</v>
      </c>
    </row>
    <row r="1374" spans="1:15" x14ac:dyDescent="0.35">
      <c r="A1374" s="7" t="s">
        <v>272</v>
      </c>
      <c r="B1374" s="3">
        <v>4.8499999999999996</v>
      </c>
      <c r="N1374" t="s">
        <v>86</v>
      </c>
      <c r="O1374">
        <v>5.1263636363636369</v>
      </c>
    </row>
    <row r="1375" spans="1:15" x14ac:dyDescent="0.35">
      <c r="A1375" s="8" t="s">
        <v>516</v>
      </c>
      <c r="B1375" s="4">
        <v>4.83</v>
      </c>
      <c r="N1375" t="s">
        <v>321</v>
      </c>
      <c r="O1375">
        <v>5.1027272727272743</v>
      </c>
    </row>
    <row r="1376" spans="1:15" x14ac:dyDescent="0.35">
      <c r="A1376" s="7" t="s">
        <v>193</v>
      </c>
      <c r="B1376" s="3">
        <v>4.8099999999999996</v>
      </c>
      <c r="N1376" t="s">
        <v>516</v>
      </c>
      <c r="O1376">
        <v>4.9277272727272718</v>
      </c>
    </row>
    <row r="1377" spans="1:15" x14ac:dyDescent="0.35">
      <c r="A1377" s="8" t="s">
        <v>86</v>
      </c>
      <c r="B1377" s="4">
        <v>4.8</v>
      </c>
      <c r="N1377" t="s">
        <v>449</v>
      </c>
      <c r="O1377">
        <v>4.8622727272727273</v>
      </c>
    </row>
    <row r="1378" spans="1:15" x14ac:dyDescent="0.35">
      <c r="A1378" s="8" t="s">
        <v>277</v>
      </c>
      <c r="B1378" s="4">
        <v>4.7699999999999996</v>
      </c>
      <c r="N1378" t="s">
        <v>213</v>
      </c>
      <c r="O1378">
        <v>4.8618181818181823</v>
      </c>
    </row>
    <row r="1379" spans="1:15" x14ac:dyDescent="0.35">
      <c r="A1379" s="8" t="s">
        <v>636</v>
      </c>
      <c r="B1379" s="4">
        <v>4.76</v>
      </c>
      <c r="N1379" t="s">
        <v>277</v>
      </c>
      <c r="O1379">
        <v>4.8218181818181822</v>
      </c>
    </row>
    <row r="1380" spans="1:15" x14ac:dyDescent="0.35">
      <c r="A1380" s="8" t="s">
        <v>716</v>
      </c>
      <c r="B1380" s="4">
        <v>4.76</v>
      </c>
      <c r="N1380" t="s">
        <v>272</v>
      </c>
      <c r="O1380">
        <v>4.7899999999999983</v>
      </c>
    </row>
    <row r="1381" spans="1:15" x14ac:dyDescent="0.35">
      <c r="A1381" s="8" t="s">
        <v>16</v>
      </c>
      <c r="B1381" s="4">
        <v>4.7300000000000004</v>
      </c>
      <c r="N1381" t="s">
        <v>555</v>
      </c>
      <c r="O1381">
        <v>4.7813636363636363</v>
      </c>
    </row>
    <row r="1382" spans="1:15" x14ac:dyDescent="0.35">
      <c r="A1382" s="7" t="s">
        <v>721</v>
      </c>
      <c r="B1382" s="3">
        <v>4.71</v>
      </c>
      <c r="N1382" t="s">
        <v>635</v>
      </c>
      <c r="O1382">
        <v>4.7695454545454536</v>
      </c>
    </row>
    <row r="1383" spans="1:15" x14ac:dyDescent="0.35">
      <c r="A1383" s="7" t="s">
        <v>713</v>
      </c>
      <c r="B1383" s="3">
        <v>4.7</v>
      </c>
      <c r="N1383" t="s">
        <v>91</v>
      </c>
      <c r="O1383">
        <v>4.7531818181818188</v>
      </c>
    </row>
    <row r="1384" spans="1:15" x14ac:dyDescent="0.35">
      <c r="A1384" s="8" t="s">
        <v>60</v>
      </c>
      <c r="B1384" s="4">
        <v>4.6900000000000004</v>
      </c>
      <c r="N1384" t="s">
        <v>716</v>
      </c>
      <c r="O1384">
        <v>4.7531818181818188</v>
      </c>
    </row>
    <row r="1385" spans="1:15" x14ac:dyDescent="0.35">
      <c r="A1385" s="7" t="s">
        <v>379</v>
      </c>
      <c r="B1385" s="3">
        <v>4.68</v>
      </c>
      <c r="N1385" t="s">
        <v>60</v>
      </c>
      <c r="O1385">
        <v>4.7072727272727271</v>
      </c>
    </row>
    <row r="1386" spans="1:15" x14ac:dyDescent="0.35">
      <c r="A1386" s="7" t="s">
        <v>264</v>
      </c>
      <c r="B1386" s="3">
        <v>4.6500000000000004</v>
      </c>
      <c r="N1386" t="s">
        <v>721</v>
      </c>
      <c r="O1386">
        <v>4.6963636363636363</v>
      </c>
    </row>
    <row r="1387" spans="1:15" x14ac:dyDescent="0.35">
      <c r="A1387" s="7" t="s">
        <v>607</v>
      </c>
      <c r="B1387" s="3">
        <v>4.63</v>
      </c>
      <c r="N1387" t="s">
        <v>379</v>
      </c>
      <c r="O1387">
        <v>4.6786363636363628</v>
      </c>
    </row>
    <row r="1388" spans="1:15" x14ac:dyDescent="0.35">
      <c r="A1388" s="8" t="s">
        <v>359</v>
      </c>
      <c r="B1388" s="4">
        <v>4.5999999999999996</v>
      </c>
      <c r="N1388" t="s">
        <v>212</v>
      </c>
      <c r="O1388">
        <v>4.6381818181818195</v>
      </c>
    </row>
    <row r="1389" spans="1:15" x14ac:dyDescent="0.35">
      <c r="A1389" s="8" t="s">
        <v>328</v>
      </c>
      <c r="B1389" s="4">
        <v>4.51</v>
      </c>
      <c r="N1389" t="s">
        <v>215</v>
      </c>
      <c r="O1389">
        <v>4.6377272727272727</v>
      </c>
    </row>
    <row r="1390" spans="1:15" x14ac:dyDescent="0.35">
      <c r="A1390" s="8" t="s">
        <v>386</v>
      </c>
      <c r="B1390" s="4">
        <v>4.4800000000000004</v>
      </c>
      <c r="N1390" t="s">
        <v>713</v>
      </c>
      <c r="O1390">
        <v>4.6340909090909088</v>
      </c>
    </row>
    <row r="1391" spans="1:15" x14ac:dyDescent="0.35">
      <c r="A1391" s="7" t="s">
        <v>621</v>
      </c>
      <c r="B1391" s="3">
        <v>4.4800000000000004</v>
      </c>
      <c r="N1391" t="s">
        <v>264</v>
      </c>
      <c r="O1391">
        <v>4.6186363636363641</v>
      </c>
    </row>
    <row r="1392" spans="1:15" x14ac:dyDescent="0.35">
      <c r="A1392" s="8" t="s">
        <v>711</v>
      </c>
      <c r="B1392" s="4">
        <v>4.4800000000000004</v>
      </c>
      <c r="N1392" t="s">
        <v>472</v>
      </c>
      <c r="O1392">
        <v>4.6022727272727275</v>
      </c>
    </row>
    <row r="1393" spans="1:15" x14ac:dyDescent="0.35">
      <c r="A1393" s="8" t="s">
        <v>158</v>
      </c>
      <c r="B1393" s="4">
        <v>4.47</v>
      </c>
      <c r="N1393" t="s">
        <v>386</v>
      </c>
      <c r="O1393">
        <v>4.5504545454545458</v>
      </c>
    </row>
    <row r="1394" spans="1:15" x14ac:dyDescent="0.35">
      <c r="A1394" s="7" t="s">
        <v>312</v>
      </c>
      <c r="B1394" s="3">
        <v>4.47</v>
      </c>
      <c r="N1394" t="s">
        <v>359</v>
      </c>
      <c r="O1394">
        <v>4.5359090909090902</v>
      </c>
    </row>
    <row r="1395" spans="1:15" x14ac:dyDescent="0.35">
      <c r="A1395" s="8" t="s">
        <v>34</v>
      </c>
      <c r="B1395" s="4">
        <v>4.45</v>
      </c>
      <c r="N1395" t="s">
        <v>4</v>
      </c>
      <c r="O1395">
        <v>4.4563636363636352</v>
      </c>
    </row>
    <row r="1396" spans="1:15" x14ac:dyDescent="0.35">
      <c r="A1396" s="8" t="s">
        <v>387</v>
      </c>
      <c r="B1396" s="4">
        <v>4.37</v>
      </c>
      <c r="N1396" t="s">
        <v>77</v>
      </c>
      <c r="O1396">
        <v>4.4536363636363632</v>
      </c>
    </row>
    <row r="1397" spans="1:15" x14ac:dyDescent="0.35">
      <c r="A1397" s="8" t="s">
        <v>715</v>
      </c>
      <c r="B1397" s="4">
        <v>4.3600000000000003</v>
      </c>
      <c r="N1397" t="s">
        <v>646</v>
      </c>
      <c r="O1397">
        <v>4.4395454545454553</v>
      </c>
    </row>
    <row r="1398" spans="1:15" x14ac:dyDescent="0.35">
      <c r="A1398" s="8" t="s">
        <v>468</v>
      </c>
      <c r="B1398" s="4">
        <v>4.33</v>
      </c>
      <c r="N1398" t="s">
        <v>711</v>
      </c>
      <c r="O1398">
        <v>4.4236363636363638</v>
      </c>
    </row>
    <row r="1399" spans="1:15" x14ac:dyDescent="0.35">
      <c r="A1399" s="8" t="s">
        <v>646</v>
      </c>
      <c r="B1399" s="4">
        <v>4.33</v>
      </c>
      <c r="N1399" t="s">
        <v>636</v>
      </c>
      <c r="O1399">
        <v>4.4140909090909091</v>
      </c>
    </row>
    <row r="1400" spans="1:15" x14ac:dyDescent="0.35">
      <c r="A1400" s="7" t="s">
        <v>525</v>
      </c>
      <c r="B1400" s="3">
        <v>4.3</v>
      </c>
      <c r="N1400" t="s">
        <v>637</v>
      </c>
      <c r="O1400">
        <v>4.3486363636363645</v>
      </c>
    </row>
    <row r="1401" spans="1:15" x14ac:dyDescent="0.35">
      <c r="A1401" s="8" t="s">
        <v>709</v>
      </c>
      <c r="B1401" s="4">
        <v>4.3</v>
      </c>
      <c r="N1401" t="s">
        <v>69</v>
      </c>
      <c r="O1401">
        <v>4.3468181818181799</v>
      </c>
    </row>
    <row r="1402" spans="1:15" x14ac:dyDescent="0.35">
      <c r="A1402" s="7" t="s">
        <v>637</v>
      </c>
      <c r="B1402" s="3">
        <v>4.26</v>
      </c>
      <c r="N1402" t="s">
        <v>709</v>
      </c>
      <c r="O1402">
        <v>4.3395454545454548</v>
      </c>
    </row>
    <row r="1403" spans="1:15" x14ac:dyDescent="0.35">
      <c r="A1403" s="8" t="s">
        <v>234</v>
      </c>
      <c r="B1403" s="4">
        <v>4.24</v>
      </c>
      <c r="N1403" t="s">
        <v>387</v>
      </c>
      <c r="O1403">
        <v>4.335454545454545</v>
      </c>
    </row>
    <row r="1404" spans="1:15" x14ac:dyDescent="0.35">
      <c r="A1404" s="7" t="s">
        <v>523</v>
      </c>
      <c r="B1404" s="3">
        <v>4.24</v>
      </c>
      <c r="N1404" t="s">
        <v>328</v>
      </c>
      <c r="O1404">
        <v>4.3172727272727265</v>
      </c>
    </row>
    <row r="1405" spans="1:15" x14ac:dyDescent="0.35">
      <c r="A1405" s="7" t="s">
        <v>467</v>
      </c>
      <c r="B1405" s="3">
        <v>4.1500000000000004</v>
      </c>
      <c r="N1405" t="s">
        <v>715</v>
      </c>
      <c r="O1405">
        <v>4.2318181818181815</v>
      </c>
    </row>
    <row r="1406" spans="1:15" x14ac:dyDescent="0.35">
      <c r="A1406" s="8" t="s">
        <v>472</v>
      </c>
      <c r="B1406" s="4">
        <v>4.09</v>
      </c>
      <c r="N1406" t="s">
        <v>468</v>
      </c>
      <c r="O1406">
        <v>4.2213636363636358</v>
      </c>
    </row>
    <row r="1407" spans="1:15" x14ac:dyDescent="0.35">
      <c r="A1407" s="7" t="s">
        <v>69</v>
      </c>
      <c r="B1407" s="3">
        <v>4.08</v>
      </c>
      <c r="N1407" t="s">
        <v>398</v>
      </c>
      <c r="O1407">
        <v>4.2154545454545458</v>
      </c>
    </row>
    <row r="1408" spans="1:15" x14ac:dyDescent="0.35">
      <c r="A1408" s="7" t="s">
        <v>635</v>
      </c>
      <c r="B1408" s="3">
        <v>4.03</v>
      </c>
      <c r="N1408" t="s">
        <v>621</v>
      </c>
      <c r="O1408">
        <v>4.1913636363636364</v>
      </c>
    </row>
    <row r="1409" spans="1:15" x14ac:dyDescent="0.35">
      <c r="A1409" s="8" t="s">
        <v>103</v>
      </c>
      <c r="B1409" s="4">
        <v>4.0199999999999996</v>
      </c>
      <c r="N1409" t="s">
        <v>234</v>
      </c>
      <c r="O1409">
        <v>4.1872727272727266</v>
      </c>
    </row>
    <row r="1410" spans="1:15" x14ac:dyDescent="0.35">
      <c r="A1410" s="8" t="s">
        <v>215</v>
      </c>
      <c r="B1410" s="4">
        <v>4.0199999999999996</v>
      </c>
      <c r="N1410" t="s">
        <v>71</v>
      </c>
      <c r="O1410">
        <v>4.1840909090909086</v>
      </c>
    </row>
    <row r="1411" spans="1:15" x14ac:dyDescent="0.35">
      <c r="A1411" s="8" t="s">
        <v>630</v>
      </c>
      <c r="B1411" s="4">
        <v>4.0199999999999996</v>
      </c>
      <c r="N1411" t="s">
        <v>550</v>
      </c>
      <c r="O1411">
        <v>4.1759090909090908</v>
      </c>
    </row>
    <row r="1412" spans="1:15" x14ac:dyDescent="0.35">
      <c r="A1412" s="7" t="s">
        <v>184</v>
      </c>
      <c r="B1412" s="3">
        <v>4.01</v>
      </c>
      <c r="N1412" t="s">
        <v>193</v>
      </c>
      <c r="O1412">
        <v>4.1695454545454549</v>
      </c>
    </row>
    <row r="1413" spans="1:15" x14ac:dyDescent="0.35">
      <c r="A1413" s="8" t="s">
        <v>550</v>
      </c>
      <c r="B1413" s="4">
        <v>4.01</v>
      </c>
      <c r="N1413" t="s">
        <v>523</v>
      </c>
      <c r="O1413">
        <v>4.1509090909090895</v>
      </c>
    </row>
    <row r="1414" spans="1:15" x14ac:dyDescent="0.35">
      <c r="A1414" s="7" t="s">
        <v>71</v>
      </c>
      <c r="B1414" s="3">
        <v>3.97</v>
      </c>
      <c r="N1414" t="s">
        <v>158</v>
      </c>
      <c r="O1414">
        <v>4.122272727272728</v>
      </c>
    </row>
    <row r="1415" spans="1:15" x14ac:dyDescent="0.35">
      <c r="A1415" s="7" t="s">
        <v>47</v>
      </c>
      <c r="B1415" s="3">
        <v>3.93</v>
      </c>
      <c r="N1415" t="s">
        <v>630</v>
      </c>
      <c r="O1415">
        <v>4.0709090909090913</v>
      </c>
    </row>
    <row r="1416" spans="1:15" x14ac:dyDescent="0.35">
      <c r="A1416" s="8" t="s">
        <v>236</v>
      </c>
      <c r="B1416" s="4">
        <v>3.93</v>
      </c>
      <c r="N1416" t="s">
        <v>372</v>
      </c>
      <c r="O1416">
        <v>4.0222727272727274</v>
      </c>
    </row>
    <row r="1417" spans="1:15" x14ac:dyDescent="0.35">
      <c r="A1417" s="8" t="s">
        <v>398</v>
      </c>
      <c r="B1417" s="4">
        <v>3.93</v>
      </c>
      <c r="N1417" t="s">
        <v>236</v>
      </c>
      <c r="O1417">
        <v>4.0077272727272728</v>
      </c>
    </row>
    <row r="1418" spans="1:15" x14ac:dyDescent="0.35">
      <c r="A1418" s="8" t="s">
        <v>388</v>
      </c>
      <c r="B1418" s="4">
        <v>3.88</v>
      </c>
      <c r="N1418" t="s">
        <v>184</v>
      </c>
      <c r="O1418">
        <v>3.9636363636363638</v>
      </c>
    </row>
    <row r="1419" spans="1:15" x14ac:dyDescent="0.35">
      <c r="A1419" s="7" t="s">
        <v>191</v>
      </c>
      <c r="B1419" s="3">
        <v>3.87</v>
      </c>
      <c r="N1419" t="s">
        <v>12</v>
      </c>
      <c r="O1419">
        <v>3.9604545454545459</v>
      </c>
    </row>
    <row r="1420" spans="1:15" x14ac:dyDescent="0.35">
      <c r="A1420" s="8" t="s">
        <v>372</v>
      </c>
      <c r="B1420" s="4">
        <v>3.85</v>
      </c>
      <c r="N1420" t="s">
        <v>522</v>
      </c>
      <c r="O1420">
        <v>3.9231818181818174</v>
      </c>
    </row>
    <row r="1421" spans="1:15" x14ac:dyDescent="0.35">
      <c r="A1421" s="8" t="s">
        <v>827</v>
      </c>
      <c r="B1421" s="4">
        <v>3.8</v>
      </c>
      <c r="N1421" t="s">
        <v>467</v>
      </c>
      <c r="O1421">
        <v>3.9218181818181823</v>
      </c>
    </row>
    <row r="1422" spans="1:15" x14ac:dyDescent="0.35">
      <c r="A1422" s="8" t="s">
        <v>581</v>
      </c>
      <c r="B1422" s="4">
        <v>3.78</v>
      </c>
      <c r="N1422" t="s">
        <v>191</v>
      </c>
      <c r="O1422">
        <v>3.9154545454545455</v>
      </c>
    </row>
    <row r="1423" spans="1:15" x14ac:dyDescent="0.35">
      <c r="A1423" s="7" t="s">
        <v>506</v>
      </c>
      <c r="B1423" s="3">
        <v>3.75</v>
      </c>
      <c r="N1423" t="s">
        <v>525</v>
      </c>
      <c r="O1423">
        <v>3.8940909090909086</v>
      </c>
    </row>
    <row r="1424" spans="1:15" x14ac:dyDescent="0.35">
      <c r="A1424" s="8" t="s">
        <v>522</v>
      </c>
      <c r="B1424" s="4">
        <v>3.72</v>
      </c>
      <c r="N1424" t="s">
        <v>47</v>
      </c>
      <c r="O1424">
        <v>3.8904545454545461</v>
      </c>
    </row>
    <row r="1425" spans="1:15" x14ac:dyDescent="0.35">
      <c r="A1425" s="8" t="s">
        <v>726</v>
      </c>
      <c r="B1425" s="4">
        <v>3.72</v>
      </c>
      <c r="N1425" t="s">
        <v>388</v>
      </c>
      <c r="O1425">
        <v>3.8531818181818185</v>
      </c>
    </row>
    <row r="1426" spans="1:15" x14ac:dyDescent="0.35">
      <c r="A1426" s="7" t="s">
        <v>717</v>
      </c>
      <c r="B1426" s="3">
        <v>3.69</v>
      </c>
      <c r="N1426" t="s">
        <v>103</v>
      </c>
      <c r="O1426">
        <v>3.8390909090909089</v>
      </c>
    </row>
    <row r="1427" spans="1:15" x14ac:dyDescent="0.35">
      <c r="A1427" s="7" t="s">
        <v>180</v>
      </c>
      <c r="B1427" s="3">
        <v>3.68</v>
      </c>
      <c r="N1427" t="s">
        <v>34</v>
      </c>
      <c r="O1427">
        <v>3.8049999999999997</v>
      </c>
    </row>
    <row r="1428" spans="1:15" x14ac:dyDescent="0.35">
      <c r="A1428" s="8" t="s">
        <v>512</v>
      </c>
      <c r="B1428" s="4">
        <v>3.67</v>
      </c>
      <c r="N1428" t="s">
        <v>65</v>
      </c>
      <c r="O1428">
        <v>3.8009090909090903</v>
      </c>
    </row>
    <row r="1429" spans="1:15" x14ac:dyDescent="0.35">
      <c r="A1429" s="8" t="s">
        <v>12</v>
      </c>
      <c r="B1429" s="4">
        <v>3.66</v>
      </c>
      <c r="N1429" t="s">
        <v>726</v>
      </c>
      <c r="O1429">
        <v>3.769090909090909</v>
      </c>
    </row>
    <row r="1430" spans="1:15" x14ac:dyDescent="0.35">
      <c r="A1430" s="8" t="s">
        <v>66</v>
      </c>
      <c r="B1430" s="4">
        <v>3.66</v>
      </c>
      <c r="N1430" t="s">
        <v>180</v>
      </c>
      <c r="O1430">
        <v>3.7304545454545472</v>
      </c>
    </row>
    <row r="1431" spans="1:15" x14ac:dyDescent="0.35">
      <c r="A1431" s="7" t="s">
        <v>189</v>
      </c>
      <c r="B1431" s="3">
        <v>3.64</v>
      </c>
      <c r="N1431" t="s">
        <v>512</v>
      </c>
      <c r="O1431">
        <v>3.7295454545454545</v>
      </c>
    </row>
    <row r="1432" spans="1:15" x14ac:dyDescent="0.35">
      <c r="A1432" s="7" t="s">
        <v>326</v>
      </c>
      <c r="B1432" s="3">
        <v>3.63</v>
      </c>
      <c r="N1432" t="s">
        <v>827</v>
      </c>
      <c r="O1432">
        <v>3.7018181818181817</v>
      </c>
    </row>
    <row r="1433" spans="1:15" x14ac:dyDescent="0.35">
      <c r="A1433" s="7" t="s">
        <v>65</v>
      </c>
      <c r="B1433" s="3">
        <v>3.62</v>
      </c>
      <c r="N1433" t="s">
        <v>66</v>
      </c>
      <c r="O1433">
        <v>3.6568181818181826</v>
      </c>
    </row>
    <row r="1434" spans="1:15" x14ac:dyDescent="0.35">
      <c r="A1434" s="7" t="s">
        <v>212</v>
      </c>
      <c r="B1434" s="3">
        <v>3.55</v>
      </c>
      <c r="N1434" t="s">
        <v>640</v>
      </c>
      <c r="O1434">
        <v>3.6568181818181813</v>
      </c>
    </row>
    <row r="1435" spans="1:15" x14ac:dyDescent="0.35">
      <c r="A1435" s="7" t="s">
        <v>83</v>
      </c>
      <c r="B1435" s="3">
        <v>3.54</v>
      </c>
      <c r="N1435" t="s">
        <v>506</v>
      </c>
      <c r="O1435">
        <v>3.6468181818181815</v>
      </c>
    </row>
    <row r="1436" spans="1:15" x14ac:dyDescent="0.35">
      <c r="A1436" s="8" t="s">
        <v>213</v>
      </c>
      <c r="B1436" s="4">
        <v>3.53</v>
      </c>
      <c r="N1436" t="s">
        <v>540</v>
      </c>
      <c r="O1436">
        <v>3.6395454545454542</v>
      </c>
    </row>
    <row r="1437" spans="1:15" x14ac:dyDescent="0.35">
      <c r="A1437" s="7" t="s">
        <v>77</v>
      </c>
      <c r="B1437" s="3">
        <v>3.52</v>
      </c>
      <c r="N1437" t="s">
        <v>717</v>
      </c>
      <c r="O1437">
        <v>3.6118181818181814</v>
      </c>
    </row>
    <row r="1438" spans="1:15" x14ac:dyDescent="0.35">
      <c r="A1438" s="8" t="s">
        <v>14</v>
      </c>
      <c r="B1438" s="4">
        <v>3.5</v>
      </c>
      <c r="N1438" t="s">
        <v>581</v>
      </c>
      <c r="O1438">
        <v>3.6040909090909095</v>
      </c>
    </row>
    <row r="1439" spans="1:15" x14ac:dyDescent="0.35">
      <c r="A1439" s="8" t="s">
        <v>540</v>
      </c>
      <c r="B1439" s="4">
        <v>3.5</v>
      </c>
      <c r="N1439" t="s">
        <v>83</v>
      </c>
      <c r="O1439">
        <v>3.603181818181818</v>
      </c>
    </row>
    <row r="1440" spans="1:15" x14ac:dyDescent="0.35">
      <c r="A1440" s="7" t="s">
        <v>94</v>
      </c>
      <c r="B1440" s="3">
        <v>3.46</v>
      </c>
      <c r="N1440" t="s">
        <v>94</v>
      </c>
      <c r="O1440">
        <v>3.5354545454545456</v>
      </c>
    </row>
    <row r="1441" spans="1:15" x14ac:dyDescent="0.35">
      <c r="A1441" s="7" t="s">
        <v>792</v>
      </c>
      <c r="B1441" s="3">
        <v>3.45</v>
      </c>
      <c r="N1441" t="s">
        <v>326</v>
      </c>
      <c r="O1441">
        <v>3.5313636363636363</v>
      </c>
    </row>
    <row r="1442" spans="1:15" x14ac:dyDescent="0.35">
      <c r="A1442" s="7" t="s">
        <v>194</v>
      </c>
      <c r="B1442" s="3">
        <v>3.45</v>
      </c>
      <c r="N1442" t="s">
        <v>685</v>
      </c>
      <c r="O1442">
        <v>3.4963636363636366</v>
      </c>
    </row>
    <row r="1443" spans="1:15" x14ac:dyDescent="0.35">
      <c r="A1443" s="8" t="s">
        <v>503</v>
      </c>
      <c r="B1443" s="4">
        <v>3.43</v>
      </c>
      <c r="N1443" t="s">
        <v>503</v>
      </c>
      <c r="O1443">
        <v>3.4900000000000007</v>
      </c>
    </row>
    <row r="1444" spans="1:15" x14ac:dyDescent="0.35">
      <c r="A1444" s="7" t="s">
        <v>694</v>
      </c>
      <c r="B1444" s="3">
        <v>3.36</v>
      </c>
      <c r="N1444" t="s">
        <v>594</v>
      </c>
      <c r="O1444">
        <v>3.435454545454546</v>
      </c>
    </row>
    <row r="1445" spans="1:15" x14ac:dyDescent="0.35">
      <c r="A1445" s="8" t="s">
        <v>698</v>
      </c>
      <c r="B1445" s="4">
        <v>3.35</v>
      </c>
      <c r="N1445" t="s">
        <v>390</v>
      </c>
      <c r="O1445">
        <v>3.3818181818181809</v>
      </c>
    </row>
    <row r="1446" spans="1:15" x14ac:dyDescent="0.35">
      <c r="A1446" s="8" t="s">
        <v>640</v>
      </c>
      <c r="B1446" s="4">
        <v>3.34</v>
      </c>
      <c r="N1446" t="s">
        <v>676</v>
      </c>
      <c r="O1446">
        <v>3.3577272727272738</v>
      </c>
    </row>
    <row r="1447" spans="1:15" x14ac:dyDescent="0.35">
      <c r="A1447" s="8" t="s">
        <v>181</v>
      </c>
      <c r="B1447" s="4">
        <v>3.31</v>
      </c>
      <c r="N1447" t="s">
        <v>571</v>
      </c>
      <c r="O1447">
        <v>3.3259090909090911</v>
      </c>
    </row>
    <row r="1448" spans="1:15" x14ac:dyDescent="0.35">
      <c r="A1448" s="8" t="s">
        <v>571</v>
      </c>
      <c r="B1448" s="4">
        <v>3.31</v>
      </c>
      <c r="N1448" t="s">
        <v>694</v>
      </c>
      <c r="O1448">
        <v>3.3118181818181824</v>
      </c>
    </row>
    <row r="1449" spans="1:15" x14ac:dyDescent="0.35">
      <c r="A1449" s="7" t="s">
        <v>685</v>
      </c>
      <c r="B1449" s="3">
        <v>3.26</v>
      </c>
      <c r="N1449" t="s">
        <v>189</v>
      </c>
      <c r="O1449">
        <v>3.3040909090909092</v>
      </c>
    </row>
    <row r="1450" spans="1:15" x14ac:dyDescent="0.35">
      <c r="A1450" s="7" t="s">
        <v>736</v>
      </c>
      <c r="B1450" s="3">
        <v>3.26</v>
      </c>
      <c r="N1450" t="s">
        <v>524</v>
      </c>
      <c r="O1450">
        <v>3.3009090909090912</v>
      </c>
    </row>
    <row r="1451" spans="1:15" x14ac:dyDescent="0.35">
      <c r="A1451" s="8" t="s">
        <v>424</v>
      </c>
      <c r="B1451" s="4">
        <v>3.25</v>
      </c>
      <c r="N1451" t="s">
        <v>698</v>
      </c>
      <c r="O1451">
        <v>3.3009090909090912</v>
      </c>
    </row>
    <row r="1452" spans="1:15" x14ac:dyDescent="0.35">
      <c r="A1452" s="7" t="s">
        <v>132</v>
      </c>
      <c r="B1452" s="3">
        <v>3.19</v>
      </c>
      <c r="N1452" t="s">
        <v>792</v>
      </c>
      <c r="O1452">
        <v>3.2972727272727274</v>
      </c>
    </row>
    <row r="1453" spans="1:15" x14ac:dyDescent="0.35">
      <c r="A1453" s="7" t="s">
        <v>524</v>
      </c>
      <c r="B1453" s="3">
        <v>3.17</v>
      </c>
      <c r="N1453" t="s">
        <v>194</v>
      </c>
      <c r="O1453">
        <v>3.2972727272727274</v>
      </c>
    </row>
    <row r="1454" spans="1:15" x14ac:dyDescent="0.35">
      <c r="A1454" s="8" t="s">
        <v>263</v>
      </c>
      <c r="B1454" s="4">
        <v>3.12</v>
      </c>
      <c r="N1454" t="s">
        <v>497</v>
      </c>
      <c r="O1454">
        <v>3.294545454545454</v>
      </c>
    </row>
    <row r="1455" spans="1:15" x14ac:dyDescent="0.35">
      <c r="A1455" s="8" t="s">
        <v>656</v>
      </c>
      <c r="B1455" s="4">
        <v>3.12</v>
      </c>
      <c r="N1455" t="s">
        <v>312</v>
      </c>
      <c r="O1455">
        <v>3.2468181818181816</v>
      </c>
    </row>
    <row r="1456" spans="1:15" x14ac:dyDescent="0.35">
      <c r="A1456" s="8" t="s">
        <v>309</v>
      </c>
      <c r="B1456" s="4">
        <v>3.11</v>
      </c>
      <c r="N1456" t="s">
        <v>181</v>
      </c>
      <c r="O1456">
        <v>3.204545454545455</v>
      </c>
    </row>
    <row r="1457" spans="1:15" x14ac:dyDescent="0.35">
      <c r="A1457" s="7" t="s">
        <v>676</v>
      </c>
      <c r="B1457" s="3">
        <v>3.11</v>
      </c>
      <c r="N1457" t="s">
        <v>361</v>
      </c>
      <c r="O1457">
        <v>3.1486363636363635</v>
      </c>
    </row>
    <row r="1458" spans="1:15" x14ac:dyDescent="0.35">
      <c r="A1458" s="8" t="s">
        <v>187</v>
      </c>
      <c r="B1458" s="4">
        <v>3.07</v>
      </c>
      <c r="N1458" t="s">
        <v>424</v>
      </c>
      <c r="O1458">
        <v>3.1463636363636365</v>
      </c>
    </row>
    <row r="1459" spans="1:15" x14ac:dyDescent="0.35">
      <c r="A1459" s="8" t="s">
        <v>414</v>
      </c>
      <c r="B1459" s="4">
        <v>3.07</v>
      </c>
      <c r="N1459" t="s">
        <v>132</v>
      </c>
      <c r="O1459">
        <v>3.13</v>
      </c>
    </row>
    <row r="1460" spans="1:15" x14ac:dyDescent="0.35">
      <c r="A1460" s="8" t="s">
        <v>688</v>
      </c>
      <c r="B1460" s="4">
        <v>3.07</v>
      </c>
      <c r="N1460" t="s">
        <v>414</v>
      </c>
      <c r="O1460">
        <v>3.1240909090909095</v>
      </c>
    </row>
    <row r="1461" spans="1:15" x14ac:dyDescent="0.35">
      <c r="A1461" s="8" t="s">
        <v>433</v>
      </c>
      <c r="B1461" s="4">
        <v>3.05</v>
      </c>
      <c r="N1461" t="s">
        <v>263</v>
      </c>
      <c r="O1461">
        <v>3.1036363636363635</v>
      </c>
    </row>
    <row r="1462" spans="1:15" x14ac:dyDescent="0.35">
      <c r="A1462" s="8" t="s">
        <v>594</v>
      </c>
      <c r="B1462" s="4">
        <v>3.05</v>
      </c>
      <c r="N1462" t="s">
        <v>528</v>
      </c>
      <c r="O1462">
        <v>3.0895454545454544</v>
      </c>
    </row>
    <row r="1463" spans="1:15" x14ac:dyDescent="0.35">
      <c r="A1463" s="8" t="s">
        <v>390</v>
      </c>
      <c r="B1463" s="4">
        <v>3.02</v>
      </c>
      <c r="N1463" t="s">
        <v>688</v>
      </c>
      <c r="O1463">
        <v>3.0849999999999995</v>
      </c>
    </row>
    <row r="1464" spans="1:15" x14ac:dyDescent="0.35">
      <c r="A1464" s="8" t="s">
        <v>497</v>
      </c>
      <c r="B1464" s="4">
        <v>3</v>
      </c>
      <c r="N1464" t="s">
        <v>309</v>
      </c>
      <c r="O1464">
        <v>3.0518181818181813</v>
      </c>
    </row>
    <row r="1465" spans="1:15" x14ac:dyDescent="0.35">
      <c r="A1465" s="8" t="s">
        <v>224</v>
      </c>
      <c r="B1465" s="4">
        <v>2.98</v>
      </c>
      <c r="N1465" t="s">
        <v>501</v>
      </c>
      <c r="O1465">
        <v>3.0095454545454543</v>
      </c>
    </row>
    <row r="1466" spans="1:15" x14ac:dyDescent="0.35">
      <c r="A1466" s="7" t="s">
        <v>445</v>
      </c>
      <c r="B1466" s="3">
        <v>2.97</v>
      </c>
      <c r="N1466" t="s">
        <v>187</v>
      </c>
      <c r="O1466">
        <v>2.9990909090909095</v>
      </c>
    </row>
    <row r="1467" spans="1:15" x14ac:dyDescent="0.35">
      <c r="A1467" s="7" t="s">
        <v>225</v>
      </c>
      <c r="B1467" s="3">
        <v>2.93</v>
      </c>
      <c r="N1467" t="s">
        <v>736</v>
      </c>
      <c r="O1467">
        <v>2.9872727272727277</v>
      </c>
    </row>
    <row r="1468" spans="1:15" x14ac:dyDescent="0.35">
      <c r="A1468" s="7" t="s">
        <v>344</v>
      </c>
      <c r="B1468" s="3">
        <v>2.93</v>
      </c>
      <c r="N1468" t="s">
        <v>225</v>
      </c>
      <c r="O1468">
        <v>2.9731818181818181</v>
      </c>
    </row>
    <row r="1469" spans="1:15" x14ac:dyDescent="0.35">
      <c r="A1469" s="8" t="s">
        <v>361</v>
      </c>
      <c r="B1469" s="4">
        <v>2.86</v>
      </c>
      <c r="N1469" t="s">
        <v>14</v>
      </c>
      <c r="O1469">
        <v>2.9554545454545451</v>
      </c>
    </row>
    <row r="1470" spans="1:15" x14ac:dyDescent="0.35">
      <c r="A1470" s="8" t="s">
        <v>538</v>
      </c>
      <c r="B1470" s="4">
        <v>2.84</v>
      </c>
      <c r="N1470" t="s">
        <v>433</v>
      </c>
      <c r="O1470">
        <v>2.9309090909090898</v>
      </c>
    </row>
    <row r="1471" spans="1:15" x14ac:dyDescent="0.35">
      <c r="A1471" s="7" t="s">
        <v>281</v>
      </c>
      <c r="B1471" s="3">
        <v>2.83</v>
      </c>
      <c r="N1471" t="s">
        <v>656</v>
      </c>
      <c r="O1471">
        <v>2.9286363636363628</v>
      </c>
    </row>
    <row r="1472" spans="1:15" x14ac:dyDescent="0.35">
      <c r="A1472" s="8" t="s">
        <v>369</v>
      </c>
      <c r="B1472" s="4">
        <v>2.83</v>
      </c>
      <c r="N1472" t="s">
        <v>224</v>
      </c>
      <c r="O1472">
        <v>2.8795454545454544</v>
      </c>
    </row>
    <row r="1473" spans="1:15" x14ac:dyDescent="0.35">
      <c r="A1473" s="7" t="s">
        <v>274</v>
      </c>
      <c r="B1473" s="3">
        <v>2.81</v>
      </c>
      <c r="N1473" t="s">
        <v>435</v>
      </c>
      <c r="O1473">
        <v>2.875454545454545</v>
      </c>
    </row>
    <row r="1474" spans="1:15" x14ac:dyDescent="0.35">
      <c r="A1474" s="8" t="s">
        <v>435</v>
      </c>
      <c r="B1474" s="4">
        <v>2.79</v>
      </c>
      <c r="N1474" t="s">
        <v>538</v>
      </c>
      <c r="O1474">
        <v>2.8572727272727274</v>
      </c>
    </row>
    <row r="1475" spans="1:15" x14ac:dyDescent="0.35">
      <c r="A1475" s="8" t="s">
        <v>528</v>
      </c>
      <c r="B1475" s="4">
        <v>2.77</v>
      </c>
      <c r="N1475" t="s">
        <v>344</v>
      </c>
      <c r="O1475">
        <v>2.8281818181818181</v>
      </c>
    </row>
    <row r="1476" spans="1:15" x14ac:dyDescent="0.35">
      <c r="A1476" s="7" t="s">
        <v>350</v>
      </c>
      <c r="B1476" s="3">
        <v>2.7</v>
      </c>
      <c r="N1476" t="s">
        <v>369</v>
      </c>
      <c r="O1476">
        <v>2.8213636363636359</v>
      </c>
    </row>
    <row r="1477" spans="1:15" x14ac:dyDescent="0.35">
      <c r="A1477" s="8" t="s">
        <v>232</v>
      </c>
      <c r="B1477" s="4">
        <v>2.69</v>
      </c>
      <c r="N1477" t="s">
        <v>445</v>
      </c>
      <c r="O1477">
        <v>2.8090909090909091</v>
      </c>
    </row>
    <row r="1478" spans="1:15" x14ac:dyDescent="0.35">
      <c r="A1478" s="8" t="s">
        <v>501</v>
      </c>
      <c r="B1478" s="4">
        <v>2.66</v>
      </c>
      <c r="N1478" t="s">
        <v>281</v>
      </c>
      <c r="O1478">
        <v>2.7422727272727276</v>
      </c>
    </row>
    <row r="1479" spans="1:15" x14ac:dyDescent="0.35">
      <c r="A1479" s="7" t="s">
        <v>547</v>
      </c>
      <c r="B1479" s="3">
        <v>2.66</v>
      </c>
      <c r="N1479" t="s">
        <v>296</v>
      </c>
      <c r="O1479">
        <v>2.7290909090909095</v>
      </c>
    </row>
    <row r="1480" spans="1:15" x14ac:dyDescent="0.35">
      <c r="A1480" s="7" t="s">
        <v>533</v>
      </c>
      <c r="B1480" s="3">
        <v>2.65</v>
      </c>
      <c r="N1480" t="s">
        <v>308</v>
      </c>
      <c r="O1480">
        <v>2.7245454545454542</v>
      </c>
    </row>
    <row r="1481" spans="1:15" x14ac:dyDescent="0.35">
      <c r="A1481" s="7" t="s">
        <v>155</v>
      </c>
      <c r="B1481" s="3">
        <v>2.63</v>
      </c>
      <c r="N1481" t="s">
        <v>643</v>
      </c>
      <c r="O1481">
        <v>2.7159090909090904</v>
      </c>
    </row>
    <row r="1482" spans="1:15" x14ac:dyDescent="0.35">
      <c r="A1482" s="7" t="s">
        <v>453</v>
      </c>
      <c r="B1482" s="3">
        <v>2.63</v>
      </c>
      <c r="N1482" t="s">
        <v>274</v>
      </c>
      <c r="O1482">
        <v>2.7131818181818184</v>
      </c>
    </row>
    <row r="1483" spans="1:15" x14ac:dyDescent="0.35">
      <c r="A1483" s="8" t="s">
        <v>643</v>
      </c>
      <c r="B1483" s="4">
        <v>2.61</v>
      </c>
      <c r="N1483" t="s">
        <v>350</v>
      </c>
      <c r="O1483">
        <v>2.7081818181818189</v>
      </c>
    </row>
    <row r="1484" spans="1:15" x14ac:dyDescent="0.35">
      <c r="A1484" s="7" t="s">
        <v>300</v>
      </c>
      <c r="B1484" s="3">
        <v>2.56</v>
      </c>
      <c r="N1484" t="s">
        <v>238</v>
      </c>
      <c r="O1484">
        <v>2.7027272727272726</v>
      </c>
    </row>
    <row r="1485" spans="1:15" x14ac:dyDescent="0.35">
      <c r="A1485" s="8" t="s">
        <v>238</v>
      </c>
      <c r="B1485" s="4">
        <v>2.5099999999999998</v>
      </c>
      <c r="N1485" t="s">
        <v>155</v>
      </c>
      <c r="O1485">
        <v>2.6836363636363632</v>
      </c>
    </row>
    <row r="1486" spans="1:15" x14ac:dyDescent="0.35">
      <c r="A1486" s="7" t="s">
        <v>504</v>
      </c>
      <c r="B1486" s="3">
        <v>2.4900000000000002</v>
      </c>
      <c r="N1486" t="s">
        <v>533</v>
      </c>
      <c r="O1486">
        <v>2.6340909090909097</v>
      </c>
    </row>
    <row r="1487" spans="1:15" x14ac:dyDescent="0.35">
      <c r="A1487" s="8" t="s">
        <v>291</v>
      </c>
      <c r="B1487" s="4">
        <v>2.48</v>
      </c>
      <c r="N1487" t="s">
        <v>291</v>
      </c>
      <c r="O1487">
        <v>2.6327272727272724</v>
      </c>
    </row>
    <row r="1488" spans="1:15" x14ac:dyDescent="0.35">
      <c r="A1488" s="7" t="s">
        <v>296</v>
      </c>
      <c r="B1488" s="3">
        <v>2.38</v>
      </c>
      <c r="N1488" t="s">
        <v>232</v>
      </c>
      <c r="O1488">
        <v>2.6218181818181812</v>
      </c>
    </row>
    <row r="1489" spans="1:15" x14ac:dyDescent="0.35">
      <c r="A1489" s="7" t="s">
        <v>488</v>
      </c>
      <c r="B1489" s="3">
        <v>2.38</v>
      </c>
      <c r="N1489" t="s">
        <v>547</v>
      </c>
      <c r="O1489">
        <v>2.5818181818181816</v>
      </c>
    </row>
    <row r="1490" spans="1:15" x14ac:dyDescent="0.35">
      <c r="A1490" s="7" t="s">
        <v>308</v>
      </c>
      <c r="B1490" s="3">
        <v>2.36</v>
      </c>
      <c r="N1490" t="s">
        <v>500</v>
      </c>
      <c r="O1490">
        <v>2.5022727272727279</v>
      </c>
    </row>
    <row r="1491" spans="1:15" x14ac:dyDescent="0.35">
      <c r="A1491" s="7" t="s">
        <v>492</v>
      </c>
      <c r="B1491" s="3">
        <v>2.36</v>
      </c>
      <c r="N1491" t="s">
        <v>504</v>
      </c>
      <c r="O1491">
        <v>2.4968181818181812</v>
      </c>
    </row>
    <row r="1492" spans="1:15" x14ac:dyDescent="0.35">
      <c r="A1492" s="7" t="s">
        <v>115</v>
      </c>
      <c r="B1492" s="3">
        <v>2.29</v>
      </c>
      <c r="N1492" t="s">
        <v>492</v>
      </c>
      <c r="O1492">
        <v>2.4590909090909085</v>
      </c>
    </row>
    <row r="1493" spans="1:15" x14ac:dyDescent="0.35">
      <c r="A1493" s="7" t="s">
        <v>310</v>
      </c>
      <c r="B1493" s="3">
        <v>2.2599999999999998</v>
      </c>
      <c r="N1493" t="s">
        <v>453</v>
      </c>
      <c r="O1493">
        <v>2.3695454545454546</v>
      </c>
    </row>
    <row r="1494" spans="1:15" x14ac:dyDescent="0.35">
      <c r="A1494" s="7" t="s">
        <v>381</v>
      </c>
      <c r="B1494" s="3">
        <v>2.2599999999999998</v>
      </c>
      <c r="N1494" t="s">
        <v>488</v>
      </c>
      <c r="O1494">
        <v>2.2968181818181823</v>
      </c>
    </row>
    <row r="1495" spans="1:15" x14ac:dyDescent="0.35">
      <c r="A1495" s="7" t="s">
        <v>625</v>
      </c>
      <c r="B1495" s="3">
        <v>2.2200000000000002</v>
      </c>
      <c r="N1495" t="s">
        <v>115</v>
      </c>
      <c r="O1495">
        <v>2.2786363636363633</v>
      </c>
    </row>
    <row r="1496" spans="1:15" x14ac:dyDescent="0.35">
      <c r="A1496" s="7" t="s">
        <v>25</v>
      </c>
      <c r="B1496" s="3">
        <v>2.2000000000000002</v>
      </c>
      <c r="N1496" t="s">
        <v>76</v>
      </c>
      <c r="O1496">
        <v>2.2740909090909094</v>
      </c>
    </row>
    <row r="1497" spans="1:15" x14ac:dyDescent="0.35">
      <c r="A1497" s="8" t="s">
        <v>666</v>
      </c>
      <c r="B1497" s="4">
        <v>2.1800000000000002</v>
      </c>
      <c r="N1497" t="s">
        <v>363</v>
      </c>
      <c r="O1497">
        <v>2.2613636363636362</v>
      </c>
    </row>
    <row r="1498" spans="1:15" x14ac:dyDescent="0.35">
      <c r="A1498" s="7" t="s">
        <v>496</v>
      </c>
      <c r="B1498" s="3">
        <v>2.16</v>
      </c>
      <c r="N1498" t="s">
        <v>517</v>
      </c>
      <c r="O1498">
        <v>2.2186363636363637</v>
      </c>
    </row>
    <row r="1499" spans="1:15" x14ac:dyDescent="0.35">
      <c r="A1499" s="7" t="s">
        <v>415</v>
      </c>
      <c r="B1499" s="3">
        <v>2.08</v>
      </c>
      <c r="N1499" t="s">
        <v>625</v>
      </c>
      <c r="O1499">
        <v>2.2036363636363632</v>
      </c>
    </row>
    <row r="1500" spans="1:15" x14ac:dyDescent="0.35">
      <c r="A1500" s="7" t="s">
        <v>517</v>
      </c>
      <c r="B1500" s="3">
        <v>2.0699999999999998</v>
      </c>
      <c r="N1500" t="s">
        <v>310</v>
      </c>
      <c r="O1500">
        <v>2.188636363636363</v>
      </c>
    </row>
    <row r="1501" spans="1:15" x14ac:dyDescent="0.35">
      <c r="A1501" s="8" t="s">
        <v>76</v>
      </c>
      <c r="B1501" s="4">
        <v>2.06</v>
      </c>
      <c r="N1501" t="s">
        <v>381</v>
      </c>
      <c r="O1501">
        <v>2.1613636363636366</v>
      </c>
    </row>
    <row r="1502" spans="1:15" x14ac:dyDescent="0.35">
      <c r="A1502" s="7" t="s">
        <v>276</v>
      </c>
      <c r="B1502" s="3">
        <v>2.0499999999999998</v>
      </c>
      <c r="N1502" t="s">
        <v>655</v>
      </c>
      <c r="O1502">
        <v>2.1422727272727267</v>
      </c>
    </row>
    <row r="1503" spans="1:15" x14ac:dyDescent="0.35">
      <c r="A1503" s="8" t="s">
        <v>376</v>
      </c>
      <c r="B1503" s="4">
        <v>2.0499999999999998</v>
      </c>
      <c r="N1503" t="s">
        <v>552</v>
      </c>
      <c r="O1503">
        <v>2.1377272727272723</v>
      </c>
    </row>
    <row r="1504" spans="1:15" x14ac:dyDescent="0.35">
      <c r="A1504" s="8" t="s">
        <v>552</v>
      </c>
      <c r="B1504" s="4">
        <v>2.0499999999999998</v>
      </c>
      <c r="N1504" t="s">
        <v>415</v>
      </c>
      <c r="O1504">
        <v>2.1281818181818184</v>
      </c>
    </row>
    <row r="1505" spans="1:15" x14ac:dyDescent="0.35">
      <c r="A1505" s="8" t="s">
        <v>363</v>
      </c>
      <c r="B1505" s="4">
        <v>2.0299999999999998</v>
      </c>
      <c r="N1505" t="s">
        <v>496</v>
      </c>
      <c r="O1505">
        <v>2.105454545454545</v>
      </c>
    </row>
    <row r="1506" spans="1:15" x14ac:dyDescent="0.35">
      <c r="A1506" s="8" t="s">
        <v>565</v>
      </c>
      <c r="B1506" s="4">
        <v>2.02</v>
      </c>
      <c r="N1506" t="s">
        <v>342</v>
      </c>
      <c r="O1506">
        <v>2.0990909090909091</v>
      </c>
    </row>
    <row r="1507" spans="1:15" x14ac:dyDescent="0.35">
      <c r="A1507" s="7" t="s">
        <v>75</v>
      </c>
      <c r="B1507" s="3">
        <v>2</v>
      </c>
      <c r="N1507" t="s">
        <v>666</v>
      </c>
      <c r="O1507">
        <v>2.0831818181818185</v>
      </c>
    </row>
    <row r="1508" spans="1:15" x14ac:dyDescent="0.35">
      <c r="A1508" s="7" t="s">
        <v>377</v>
      </c>
      <c r="B1508" s="3">
        <v>2</v>
      </c>
      <c r="N1508" t="s">
        <v>75</v>
      </c>
      <c r="O1508">
        <v>2.0772727272727267</v>
      </c>
    </row>
    <row r="1509" spans="1:15" x14ac:dyDescent="0.35">
      <c r="A1509" s="7" t="s">
        <v>655</v>
      </c>
      <c r="B1509" s="3">
        <v>1.96</v>
      </c>
      <c r="N1509" t="s">
        <v>99</v>
      </c>
      <c r="O1509">
        <v>1.990454545454545</v>
      </c>
    </row>
    <row r="1510" spans="1:15" x14ac:dyDescent="0.35">
      <c r="A1510" s="8" t="s">
        <v>284</v>
      </c>
      <c r="B1510" s="4">
        <v>1.94</v>
      </c>
      <c r="N1510" t="s">
        <v>565</v>
      </c>
      <c r="O1510">
        <v>1.9886363636363642</v>
      </c>
    </row>
    <row r="1511" spans="1:15" x14ac:dyDescent="0.35">
      <c r="A1511" s="8" t="s">
        <v>487</v>
      </c>
      <c r="B1511" s="4">
        <v>1.93</v>
      </c>
      <c r="N1511" t="s">
        <v>377</v>
      </c>
      <c r="O1511">
        <v>1.9759090909090908</v>
      </c>
    </row>
    <row r="1512" spans="1:15" x14ac:dyDescent="0.35">
      <c r="A1512" s="7" t="s">
        <v>342</v>
      </c>
      <c r="B1512" s="3">
        <v>1.92</v>
      </c>
      <c r="N1512" t="s">
        <v>23</v>
      </c>
      <c r="O1512">
        <v>1.9699999999999995</v>
      </c>
    </row>
    <row r="1513" spans="1:15" x14ac:dyDescent="0.35">
      <c r="A1513" s="8" t="s">
        <v>92</v>
      </c>
      <c r="B1513" s="4">
        <v>1.91</v>
      </c>
      <c r="N1513" t="s">
        <v>276</v>
      </c>
      <c r="O1513">
        <v>1.9681818181818178</v>
      </c>
    </row>
    <row r="1514" spans="1:15" x14ac:dyDescent="0.35">
      <c r="A1514" s="7" t="s">
        <v>568</v>
      </c>
      <c r="B1514" s="3">
        <v>1.9</v>
      </c>
      <c r="N1514" t="s">
        <v>25</v>
      </c>
      <c r="O1514">
        <v>1.9395454545454549</v>
      </c>
    </row>
    <row r="1515" spans="1:15" x14ac:dyDescent="0.35">
      <c r="A1515" s="8" t="s">
        <v>483</v>
      </c>
      <c r="B1515" s="4">
        <v>1.89</v>
      </c>
      <c r="N1515" t="s">
        <v>284</v>
      </c>
      <c r="O1515">
        <v>1.9309090909090907</v>
      </c>
    </row>
    <row r="1516" spans="1:15" x14ac:dyDescent="0.35">
      <c r="A1516" s="7" t="s">
        <v>500</v>
      </c>
      <c r="B1516" s="3">
        <v>1.89</v>
      </c>
      <c r="N1516" t="s">
        <v>87</v>
      </c>
      <c r="O1516">
        <v>1.905909090909091</v>
      </c>
    </row>
    <row r="1517" spans="1:15" x14ac:dyDescent="0.35">
      <c r="A1517" s="8" t="s">
        <v>514</v>
      </c>
      <c r="B1517" s="4">
        <v>1.89</v>
      </c>
      <c r="N1517" t="s">
        <v>190</v>
      </c>
      <c r="O1517">
        <v>1.873636363636364</v>
      </c>
    </row>
    <row r="1518" spans="1:15" x14ac:dyDescent="0.35">
      <c r="A1518" s="7" t="s">
        <v>87</v>
      </c>
      <c r="B1518" s="3">
        <v>1.88</v>
      </c>
      <c r="N1518" t="s">
        <v>257</v>
      </c>
      <c r="O1518">
        <v>1.8686363636363643</v>
      </c>
    </row>
    <row r="1519" spans="1:15" x14ac:dyDescent="0.35">
      <c r="A1519" s="8" t="s">
        <v>257</v>
      </c>
      <c r="B1519" s="4">
        <v>1.88</v>
      </c>
      <c r="N1519" t="s">
        <v>487</v>
      </c>
      <c r="O1519">
        <v>1.8686363636363637</v>
      </c>
    </row>
    <row r="1520" spans="1:15" x14ac:dyDescent="0.35">
      <c r="A1520" s="7" t="s">
        <v>603</v>
      </c>
      <c r="B1520" s="3">
        <v>1.86</v>
      </c>
      <c r="N1520" t="s">
        <v>568</v>
      </c>
      <c r="O1520">
        <v>1.8645454545454543</v>
      </c>
    </row>
    <row r="1521" spans="1:15" x14ac:dyDescent="0.35">
      <c r="A1521" s="7" t="s">
        <v>23</v>
      </c>
      <c r="B1521" s="3">
        <v>1.85</v>
      </c>
      <c r="N1521" t="s">
        <v>514</v>
      </c>
      <c r="O1521">
        <v>1.8554545454545457</v>
      </c>
    </row>
    <row r="1522" spans="1:15" x14ac:dyDescent="0.35">
      <c r="A1522" s="7" t="s">
        <v>99</v>
      </c>
      <c r="B1522" s="3">
        <v>1.85</v>
      </c>
      <c r="N1522" t="s">
        <v>483</v>
      </c>
      <c r="O1522">
        <v>1.8536363636363637</v>
      </c>
    </row>
    <row r="1523" spans="1:15" x14ac:dyDescent="0.35">
      <c r="A1523" s="7" t="s">
        <v>515</v>
      </c>
      <c r="B1523" s="3">
        <v>1.82</v>
      </c>
      <c r="N1523" t="s">
        <v>590</v>
      </c>
      <c r="O1523">
        <v>1.8504545454545458</v>
      </c>
    </row>
    <row r="1524" spans="1:15" x14ac:dyDescent="0.35">
      <c r="A1524" s="8" t="s">
        <v>190</v>
      </c>
      <c r="B1524" s="4">
        <v>1.81</v>
      </c>
      <c r="N1524" t="s">
        <v>603</v>
      </c>
      <c r="O1524">
        <v>1.8377272727272724</v>
      </c>
    </row>
    <row r="1525" spans="1:15" x14ac:dyDescent="0.35">
      <c r="A1525" s="8" t="s">
        <v>440</v>
      </c>
      <c r="B1525" s="4">
        <v>1.81</v>
      </c>
      <c r="N1525" t="s">
        <v>515</v>
      </c>
      <c r="O1525">
        <v>1.8313636363636367</v>
      </c>
    </row>
    <row r="1526" spans="1:15" x14ac:dyDescent="0.35">
      <c r="A1526" s="7" t="s">
        <v>861</v>
      </c>
      <c r="B1526" s="3">
        <v>1.81</v>
      </c>
      <c r="N1526" t="s">
        <v>385</v>
      </c>
      <c r="O1526">
        <v>1.8309090909090906</v>
      </c>
    </row>
    <row r="1527" spans="1:15" x14ac:dyDescent="0.35">
      <c r="A1527" s="8" t="s">
        <v>590</v>
      </c>
      <c r="B1527" s="4">
        <v>1.81</v>
      </c>
      <c r="N1527" t="s">
        <v>861</v>
      </c>
      <c r="O1527">
        <v>1.7654545454545456</v>
      </c>
    </row>
    <row r="1528" spans="1:15" x14ac:dyDescent="0.35">
      <c r="A1528" s="7" t="s">
        <v>167</v>
      </c>
      <c r="B1528" s="3">
        <v>1.8</v>
      </c>
      <c r="N1528" t="s">
        <v>486</v>
      </c>
      <c r="O1528">
        <v>1.7609090909090914</v>
      </c>
    </row>
    <row r="1529" spans="1:15" x14ac:dyDescent="0.35">
      <c r="A1529" s="8" t="s">
        <v>44</v>
      </c>
      <c r="B1529" s="4">
        <v>1.79</v>
      </c>
      <c r="N1529" t="s">
        <v>679</v>
      </c>
      <c r="O1529">
        <v>1.7595454545454545</v>
      </c>
    </row>
    <row r="1530" spans="1:15" x14ac:dyDescent="0.35">
      <c r="A1530" s="8" t="s">
        <v>485</v>
      </c>
      <c r="B1530" s="4">
        <v>1.79</v>
      </c>
      <c r="N1530" t="s">
        <v>485</v>
      </c>
      <c r="O1530">
        <v>1.7295454545454541</v>
      </c>
    </row>
    <row r="1531" spans="1:15" x14ac:dyDescent="0.35">
      <c r="A1531" s="8" t="s">
        <v>728</v>
      </c>
      <c r="B1531" s="4">
        <v>1.79</v>
      </c>
      <c r="N1531" t="s">
        <v>92</v>
      </c>
      <c r="O1531">
        <v>1.7286363636363631</v>
      </c>
    </row>
    <row r="1532" spans="1:15" x14ac:dyDescent="0.35">
      <c r="A1532" s="7" t="s">
        <v>486</v>
      </c>
      <c r="B1532" s="3">
        <v>1.78</v>
      </c>
      <c r="N1532" t="s">
        <v>728</v>
      </c>
      <c r="O1532">
        <v>1.7250000000000001</v>
      </c>
    </row>
    <row r="1533" spans="1:15" x14ac:dyDescent="0.35">
      <c r="A1533" s="7" t="s">
        <v>665</v>
      </c>
      <c r="B1533" s="3">
        <v>1.78</v>
      </c>
      <c r="N1533" t="s">
        <v>376</v>
      </c>
      <c r="O1533">
        <v>1.7186363636363631</v>
      </c>
    </row>
    <row r="1534" spans="1:15" x14ac:dyDescent="0.35">
      <c r="A1534" s="7" t="s">
        <v>385</v>
      </c>
      <c r="B1534" s="3">
        <v>1.77</v>
      </c>
      <c r="N1534" t="s">
        <v>44</v>
      </c>
      <c r="O1534">
        <v>1.7045454545454546</v>
      </c>
    </row>
    <row r="1535" spans="1:15" x14ac:dyDescent="0.35">
      <c r="A1535" s="7" t="s">
        <v>233</v>
      </c>
      <c r="B1535" s="3">
        <v>1.72</v>
      </c>
      <c r="N1535" t="s">
        <v>319</v>
      </c>
      <c r="O1535">
        <v>1.6963636363636367</v>
      </c>
    </row>
    <row r="1536" spans="1:15" x14ac:dyDescent="0.35">
      <c r="A1536" s="8" t="s">
        <v>567</v>
      </c>
      <c r="B1536" s="4">
        <v>1.68</v>
      </c>
      <c r="N1536" t="s">
        <v>167</v>
      </c>
      <c r="O1536">
        <v>1.6877272727272727</v>
      </c>
    </row>
    <row r="1537" spans="1:15" x14ac:dyDescent="0.35">
      <c r="A1537" s="8" t="s">
        <v>131</v>
      </c>
      <c r="B1537" s="4">
        <v>1.67</v>
      </c>
      <c r="N1537" t="s">
        <v>300</v>
      </c>
      <c r="O1537">
        <v>1.664545454545455</v>
      </c>
    </row>
    <row r="1538" spans="1:15" x14ac:dyDescent="0.35">
      <c r="A1538" s="8" t="s">
        <v>679</v>
      </c>
      <c r="B1538" s="4">
        <v>1.67</v>
      </c>
      <c r="N1538" t="s">
        <v>665</v>
      </c>
      <c r="O1538">
        <v>1.6554545454545453</v>
      </c>
    </row>
    <row r="1539" spans="1:15" x14ac:dyDescent="0.35">
      <c r="A1539" s="8" t="s">
        <v>269</v>
      </c>
      <c r="B1539" s="4">
        <v>1.65</v>
      </c>
      <c r="N1539" t="s">
        <v>233</v>
      </c>
      <c r="O1539">
        <v>1.65</v>
      </c>
    </row>
    <row r="1540" spans="1:15" x14ac:dyDescent="0.35">
      <c r="A1540" s="8" t="s">
        <v>319</v>
      </c>
      <c r="B1540" s="4">
        <v>1.63</v>
      </c>
      <c r="N1540" t="s">
        <v>269</v>
      </c>
      <c r="O1540">
        <v>1.6459090909090905</v>
      </c>
    </row>
    <row r="1541" spans="1:15" x14ac:dyDescent="0.35">
      <c r="A1541" s="7" t="s">
        <v>687</v>
      </c>
      <c r="B1541" s="3">
        <v>1.63</v>
      </c>
      <c r="N1541" t="s">
        <v>687</v>
      </c>
      <c r="O1541">
        <v>1.6381818181818184</v>
      </c>
    </row>
    <row r="1542" spans="1:15" x14ac:dyDescent="0.35">
      <c r="A1542" s="8" t="s">
        <v>139</v>
      </c>
      <c r="B1542" s="4">
        <v>1.61</v>
      </c>
      <c r="N1542" t="s">
        <v>50</v>
      </c>
      <c r="O1542">
        <v>1.6154545454545455</v>
      </c>
    </row>
    <row r="1543" spans="1:15" x14ac:dyDescent="0.35">
      <c r="A1543" s="7" t="s">
        <v>17</v>
      </c>
      <c r="B1543" s="3">
        <v>1.58</v>
      </c>
      <c r="N1543" t="s">
        <v>131</v>
      </c>
      <c r="O1543">
        <v>1.6145454545454547</v>
      </c>
    </row>
    <row r="1544" spans="1:15" x14ac:dyDescent="0.35">
      <c r="A1544" s="8" t="s">
        <v>409</v>
      </c>
      <c r="B1544" s="4">
        <v>1.58</v>
      </c>
      <c r="N1544" t="s">
        <v>634</v>
      </c>
      <c r="O1544">
        <v>1.5918181818181816</v>
      </c>
    </row>
    <row r="1545" spans="1:15" x14ac:dyDescent="0.35">
      <c r="A1545" s="8" t="s">
        <v>222</v>
      </c>
      <c r="B1545" s="4">
        <v>1.57</v>
      </c>
      <c r="N1545" t="s">
        <v>567</v>
      </c>
      <c r="O1545">
        <v>1.5877272727272724</v>
      </c>
    </row>
    <row r="1546" spans="1:15" x14ac:dyDescent="0.35">
      <c r="A1546" s="7" t="s">
        <v>89</v>
      </c>
      <c r="B1546" s="3">
        <v>1.54</v>
      </c>
      <c r="N1546" t="s">
        <v>139</v>
      </c>
      <c r="O1546">
        <v>1.5872727272727274</v>
      </c>
    </row>
    <row r="1547" spans="1:15" x14ac:dyDescent="0.35">
      <c r="A1547" s="7" t="s">
        <v>50</v>
      </c>
      <c r="B1547" s="3">
        <v>1.53</v>
      </c>
      <c r="N1547" t="s">
        <v>440</v>
      </c>
      <c r="O1547">
        <v>1.5822727272727273</v>
      </c>
    </row>
    <row r="1548" spans="1:15" x14ac:dyDescent="0.35">
      <c r="A1548" s="7" t="s">
        <v>95</v>
      </c>
      <c r="B1548" s="3">
        <v>1.52</v>
      </c>
      <c r="N1548" t="s">
        <v>17</v>
      </c>
      <c r="O1548">
        <v>1.5790909090909091</v>
      </c>
    </row>
    <row r="1549" spans="1:15" x14ac:dyDescent="0.35">
      <c r="A1549" s="8" t="s">
        <v>612</v>
      </c>
      <c r="B1549" s="4">
        <v>1.51</v>
      </c>
      <c r="N1549" t="s">
        <v>222</v>
      </c>
      <c r="O1549">
        <v>1.5790909090909089</v>
      </c>
    </row>
    <row r="1550" spans="1:15" x14ac:dyDescent="0.35">
      <c r="A1550" s="8" t="s">
        <v>634</v>
      </c>
      <c r="B1550" s="4">
        <v>1.51</v>
      </c>
      <c r="N1550" t="s">
        <v>647</v>
      </c>
      <c r="O1550">
        <v>1.5613636363636365</v>
      </c>
    </row>
    <row r="1551" spans="1:15" x14ac:dyDescent="0.35">
      <c r="A1551" s="7" t="s">
        <v>647</v>
      </c>
      <c r="B1551" s="3">
        <v>1.51</v>
      </c>
      <c r="N1551" t="s">
        <v>499</v>
      </c>
      <c r="O1551">
        <v>1.5581818181818183</v>
      </c>
    </row>
    <row r="1552" spans="1:15" x14ac:dyDescent="0.35">
      <c r="A1552" s="7" t="s">
        <v>354</v>
      </c>
      <c r="B1552" s="3">
        <v>1.49</v>
      </c>
      <c r="N1552" t="s">
        <v>471</v>
      </c>
      <c r="O1552">
        <v>1.5140909090909089</v>
      </c>
    </row>
    <row r="1553" spans="1:15" x14ac:dyDescent="0.35">
      <c r="A1553" s="8" t="s">
        <v>654</v>
      </c>
      <c r="B1553" s="4">
        <v>1.48</v>
      </c>
      <c r="N1553" t="s">
        <v>612</v>
      </c>
      <c r="O1553">
        <v>1.5100000000000007</v>
      </c>
    </row>
    <row r="1554" spans="1:15" x14ac:dyDescent="0.35">
      <c r="A1554" s="8" t="s">
        <v>722</v>
      </c>
      <c r="B1554" s="4">
        <v>1.47</v>
      </c>
      <c r="N1554" t="s">
        <v>95</v>
      </c>
      <c r="O1554">
        <v>1.500909090909091</v>
      </c>
    </row>
    <row r="1555" spans="1:15" x14ac:dyDescent="0.35">
      <c r="A1555" s="7" t="s">
        <v>539</v>
      </c>
      <c r="B1555" s="3">
        <v>1.35</v>
      </c>
      <c r="N1555" t="s">
        <v>654</v>
      </c>
      <c r="O1555">
        <v>1.4800000000000002</v>
      </c>
    </row>
    <row r="1556" spans="1:15" x14ac:dyDescent="0.35">
      <c r="A1556" s="8" t="s">
        <v>72</v>
      </c>
      <c r="B1556" s="4">
        <v>1.31</v>
      </c>
      <c r="N1556" t="s">
        <v>722</v>
      </c>
      <c r="O1556">
        <v>1.4577272727272728</v>
      </c>
    </row>
    <row r="1557" spans="1:15" x14ac:dyDescent="0.35">
      <c r="A1557" s="8" t="s">
        <v>669</v>
      </c>
      <c r="B1557" s="4">
        <v>1.3</v>
      </c>
      <c r="N1557" t="s">
        <v>354</v>
      </c>
      <c r="O1557">
        <v>1.4531818181818181</v>
      </c>
    </row>
    <row r="1558" spans="1:15" x14ac:dyDescent="0.35">
      <c r="A1558" s="7" t="s">
        <v>203</v>
      </c>
      <c r="B1558" s="3">
        <v>1.27</v>
      </c>
      <c r="N1558" t="s">
        <v>89</v>
      </c>
      <c r="O1558">
        <v>1.4399999999999997</v>
      </c>
    </row>
    <row r="1559" spans="1:15" x14ac:dyDescent="0.35">
      <c r="A1559" s="8" t="s">
        <v>273</v>
      </c>
      <c r="B1559" s="4">
        <v>1.27</v>
      </c>
      <c r="N1559" t="s">
        <v>409</v>
      </c>
      <c r="O1559">
        <v>1.4195454545454538</v>
      </c>
    </row>
    <row r="1560" spans="1:15" x14ac:dyDescent="0.35">
      <c r="A1560" s="8" t="s">
        <v>703</v>
      </c>
      <c r="B1560" s="4">
        <v>1.27</v>
      </c>
      <c r="N1560" t="s">
        <v>539</v>
      </c>
      <c r="O1560">
        <v>1.363636363636364</v>
      </c>
    </row>
    <row r="1561" spans="1:15" x14ac:dyDescent="0.35">
      <c r="A1561" s="7" t="s">
        <v>338</v>
      </c>
      <c r="B1561" s="3">
        <v>1.26</v>
      </c>
      <c r="N1561" t="s">
        <v>72</v>
      </c>
      <c r="O1561">
        <v>1.3377272727272727</v>
      </c>
    </row>
    <row r="1562" spans="1:15" x14ac:dyDescent="0.35">
      <c r="A1562" s="7" t="s">
        <v>623</v>
      </c>
      <c r="B1562" s="3">
        <v>1.24</v>
      </c>
      <c r="N1562" t="s">
        <v>338</v>
      </c>
      <c r="O1562">
        <v>1.3136363636363639</v>
      </c>
    </row>
    <row r="1563" spans="1:15" x14ac:dyDescent="0.35">
      <c r="A1563" s="7" t="s">
        <v>471</v>
      </c>
      <c r="B1563" s="3">
        <v>1.22</v>
      </c>
      <c r="N1563" t="s">
        <v>203</v>
      </c>
      <c r="O1563">
        <v>1.292272727272727</v>
      </c>
    </row>
    <row r="1564" spans="1:15" x14ac:dyDescent="0.35">
      <c r="A1564" s="7" t="s">
        <v>417</v>
      </c>
      <c r="B1564" s="3">
        <v>1.21</v>
      </c>
      <c r="N1564" t="s">
        <v>669</v>
      </c>
      <c r="O1564">
        <v>1.2536363636363637</v>
      </c>
    </row>
    <row r="1565" spans="1:15" x14ac:dyDescent="0.35">
      <c r="A1565" s="7" t="s">
        <v>425</v>
      </c>
      <c r="B1565" s="3">
        <v>1.21</v>
      </c>
      <c r="N1565" t="s">
        <v>273</v>
      </c>
      <c r="O1565">
        <v>1.2486363636363635</v>
      </c>
    </row>
    <row r="1566" spans="1:15" x14ac:dyDescent="0.35">
      <c r="A1566" s="8" t="s">
        <v>343</v>
      </c>
      <c r="B1566" s="4">
        <v>1.2</v>
      </c>
      <c r="N1566" t="s">
        <v>703</v>
      </c>
      <c r="O1566">
        <v>1.2404545454545459</v>
      </c>
    </row>
    <row r="1567" spans="1:15" x14ac:dyDescent="0.35">
      <c r="A1567" s="7" t="s">
        <v>668</v>
      </c>
      <c r="B1567" s="3">
        <v>1.18</v>
      </c>
      <c r="N1567" t="s">
        <v>606</v>
      </c>
      <c r="O1567">
        <v>1.2231818181818184</v>
      </c>
    </row>
    <row r="1568" spans="1:15" x14ac:dyDescent="0.35">
      <c r="A1568" s="7" t="s">
        <v>653</v>
      </c>
      <c r="B1568" s="3">
        <v>1.17</v>
      </c>
      <c r="N1568" t="s">
        <v>417</v>
      </c>
      <c r="O1568">
        <v>1.2209090909090907</v>
      </c>
    </row>
    <row r="1569" spans="1:15" x14ac:dyDescent="0.35">
      <c r="A1569" s="7" t="s">
        <v>13</v>
      </c>
      <c r="B1569" s="3">
        <v>1.1499999999999999</v>
      </c>
      <c r="N1569" t="s">
        <v>425</v>
      </c>
      <c r="O1569">
        <v>1.2100000000000006</v>
      </c>
    </row>
    <row r="1570" spans="1:15" x14ac:dyDescent="0.35">
      <c r="A1570" s="7" t="s">
        <v>221</v>
      </c>
      <c r="B1570" s="3">
        <v>1.1499999999999999</v>
      </c>
      <c r="N1570" t="s">
        <v>668</v>
      </c>
      <c r="O1570">
        <v>1.1531818181818179</v>
      </c>
    </row>
    <row r="1571" spans="1:15" x14ac:dyDescent="0.35">
      <c r="A1571" s="7" t="s">
        <v>294</v>
      </c>
      <c r="B1571" s="3">
        <v>1.1299999999999999</v>
      </c>
      <c r="N1571" t="s">
        <v>221</v>
      </c>
      <c r="O1571">
        <v>1.1436363636363633</v>
      </c>
    </row>
    <row r="1572" spans="1:15" x14ac:dyDescent="0.35">
      <c r="A1572" s="7" t="s">
        <v>710</v>
      </c>
      <c r="B1572" s="3">
        <v>1.1200000000000001</v>
      </c>
      <c r="N1572" t="s">
        <v>13</v>
      </c>
      <c r="O1572">
        <v>1.1377272727272729</v>
      </c>
    </row>
    <row r="1573" spans="1:15" x14ac:dyDescent="0.35">
      <c r="A1573" s="8" t="s">
        <v>664</v>
      </c>
      <c r="B1573" s="4">
        <v>1.1100000000000001</v>
      </c>
      <c r="N1573" t="s">
        <v>710</v>
      </c>
      <c r="O1573">
        <v>1.136363636363636</v>
      </c>
    </row>
    <row r="1574" spans="1:15" x14ac:dyDescent="0.35">
      <c r="A1574" s="8" t="s">
        <v>499</v>
      </c>
      <c r="B1574" s="4">
        <v>1.07</v>
      </c>
      <c r="N1574" t="s">
        <v>343</v>
      </c>
      <c r="O1574">
        <v>1.121818181818182</v>
      </c>
    </row>
    <row r="1575" spans="1:15" x14ac:dyDescent="0.35">
      <c r="A1575" s="7" t="s">
        <v>463</v>
      </c>
      <c r="B1575" s="3">
        <v>1.06</v>
      </c>
      <c r="N1575" t="s">
        <v>623</v>
      </c>
      <c r="O1575">
        <v>1.1104545454545454</v>
      </c>
    </row>
    <row r="1576" spans="1:15" x14ac:dyDescent="0.35">
      <c r="A1576" s="8" t="s">
        <v>382</v>
      </c>
      <c r="B1576" s="4">
        <v>1.05</v>
      </c>
      <c r="N1576" t="s">
        <v>664</v>
      </c>
      <c r="O1576">
        <v>1.1090909090909091</v>
      </c>
    </row>
    <row r="1577" spans="1:15" x14ac:dyDescent="0.35">
      <c r="A1577" s="7" t="s">
        <v>441</v>
      </c>
      <c r="B1577" s="3">
        <v>1.05</v>
      </c>
      <c r="N1577" t="s">
        <v>294</v>
      </c>
      <c r="O1577">
        <v>1.0954545454545455</v>
      </c>
    </row>
    <row r="1578" spans="1:15" x14ac:dyDescent="0.35">
      <c r="A1578" s="8" t="s">
        <v>413</v>
      </c>
      <c r="B1578" s="4">
        <v>1.03</v>
      </c>
      <c r="N1578" t="s">
        <v>382</v>
      </c>
      <c r="O1578">
        <v>1.0763636363636364</v>
      </c>
    </row>
    <row r="1579" spans="1:15" x14ac:dyDescent="0.35">
      <c r="A1579" s="7" t="s">
        <v>657</v>
      </c>
      <c r="B1579" s="3">
        <v>1.01</v>
      </c>
      <c r="N1579" t="s">
        <v>223</v>
      </c>
      <c r="O1579">
        <v>1.0518181818181822</v>
      </c>
    </row>
    <row r="1580" spans="1:15" x14ac:dyDescent="0.35">
      <c r="A1580" s="7" t="s">
        <v>223</v>
      </c>
      <c r="B1580" s="3">
        <v>1</v>
      </c>
      <c r="N1580" t="s">
        <v>441</v>
      </c>
      <c r="O1580">
        <v>1.0450000000000002</v>
      </c>
    </row>
    <row r="1581" spans="1:15" x14ac:dyDescent="0.35">
      <c r="A1581" s="8" t="s">
        <v>351</v>
      </c>
      <c r="B1581" s="4">
        <v>1</v>
      </c>
      <c r="N1581" t="s">
        <v>653</v>
      </c>
      <c r="O1581">
        <v>1.0313636363636363</v>
      </c>
    </row>
    <row r="1582" spans="1:15" x14ac:dyDescent="0.35">
      <c r="A1582" s="8" t="s">
        <v>606</v>
      </c>
      <c r="B1582" s="4">
        <v>1</v>
      </c>
      <c r="N1582" t="s">
        <v>481</v>
      </c>
      <c r="O1582">
        <v>0.99954545454545451</v>
      </c>
    </row>
    <row r="1583" spans="1:15" x14ac:dyDescent="0.35">
      <c r="A1583" s="8" t="s">
        <v>228</v>
      </c>
      <c r="B1583" s="4">
        <v>0.99</v>
      </c>
      <c r="N1583" t="s">
        <v>463</v>
      </c>
      <c r="O1583">
        <v>0.98636363636363633</v>
      </c>
    </row>
    <row r="1584" spans="1:15" x14ac:dyDescent="0.35">
      <c r="A1584" s="7" t="s">
        <v>93</v>
      </c>
      <c r="B1584" s="3">
        <v>0.98</v>
      </c>
      <c r="N1584" t="s">
        <v>351</v>
      </c>
      <c r="O1584">
        <v>0.98318181818181816</v>
      </c>
    </row>
    <row r="1585" spans="1:15" x14ac:dyDescent="0.35">
      <c r="A1585" s="7" t="s">
        <v>481</v>
      </c>
      <c r="B1585" s="3">
        <v>0.98</v>
      </c>
      <c r="N1585" t="s">
        <v>657</v>
      </c>
      <c r="O1585">
        <v>0.9781818181818186</v>
      </c>
    </row>
    <row r="1586" spans="1:15" x14ac:dyDescent="0.35">
      <c r="A1586" s="8" t="s">
        <v>261</v>
      </c>
      <c r="B1586" s="4">
        <v>0.96</v>
      </c>
      <c r="N1586" t="s">
        <v>228</v>
      </c>
      <c r="O1586">
        <v>0.95954545454545437</v>
      </c>
    </row>
    <row r="1587" spans="1:15" x14ac:dyDescent="0.35">
      <c r="A1587" s="8" t="s">
        <v>507</v>
      </c>
      <c r="B1587" s="4">
        <v>0.93</v>
      </c>
      <c r="N1587" t="s">
        <v>507</v>
      </c>
      <c r="O1587">
        <v>0.95136363636363652</v>
      </c>
    </row>
    <row r="1588" spans="1:15" x14ac:dyDescent="0.35">
      <c r="A1588" s="7" t="s">
        <v>138</v>
      </c>
      <c r="B1588" s="3">
        <v>0.91</v>
      </c>
      <c r="N1588" t="s">
        <v>93</v>
      </c>
      <c r="O1588">
        <v>0.93818181818181801</v>
      </c>
    </row>
    <row r="1589" spans="1:15" x14ac:dyDescent="0.35">
      <c r="A1589" s="7" t="s">
        <v>210</v>
      </c>
      <c r="B1589" s="3">
        <v>0.91</v>
      </c>
      <c r="N1589" t="s">
        <v>374</v>
      </c>
      <c r="O1589">
        <v>0.93681818181818199</v>
      </c>
    </row>
    <row r="1590" spans="1:15" x14ac:dyDescent="0.35">
      <c r="A1590" s="7" t="s">
        <v>270</v>
      </c>
      <c r="B1590" s="3">
        <v>0.89</v>
      </c>
      <c r="N1590" t="s">
        <v>210</v>
      </c>
      <c r="O1590">
        <v>0.93318181818181822</v>
      </c>
    </row>
    <row r="1591" spans="1:15" x14ac:dyDescent="0.35">
      <c r="A1591" s="8" t="s">
        <v>374</v>
      </c>
      <c r="B1591" s="4">
        <v>0.88</v>
      </c>
      <c r="N1591" t="s">
        <v>261</v>
      </c>
      <c r="O1591">
        <v>0.92863636363636359</v>
      </c>
    </row>
    <row r="1592" spans="1:15" x14ac:dyDescent="0.35">
      <c r="A1592" s="7" t="s">
        <v>410</v>
      </c>
      <c r="B1592" s="3">
        <v>0.88</v>
      </c>
      <c r="N1592" t="s">
        <v>138</v>
      </c>
      <c r="O1592">
        <v>0.92318181818181833</v>
      </c>
    </row>
    <row r="1593" spans="1:15" x14ac:dyDescent="0.35">
      <c r="A1593" s="8" t="s">
        <v>544</v>
      </c>
      <c r="B1593" s="4">
        <v>0.88</v>
      </c>
      <c r="N1593" t="s">
        <v>239</v>
      </c>
      <c r="O1593">
        <v>0.91681818181818175</v>
      </c>
    </row>
    <row r="1594" spans="1:15" x14ac:dyDescent="0.35">
      <c r="A1594" s="7" t="s">
        <v>102</v>
      </c>
      <c r="B1594" s="3">
        <v>0.87</v>
      </c>
      <c r="N1594" t="s">
        <v>270</v>
      </c>
      <c r="O1594">
        <v>0.91000000000000014</v>
      </c>
    </row>
    <row r="1595" spans="1:15" x14ac:dyDescent="0.35">
      <c r="A1595" s="7" t="s">
        <v>146</v>
      </c>
      <c r="B1595" s="3">
        <v>0.84</v>
      </c>
      <c r="N1595" t="s">
        <v>410</v>
      </c>
      <c r="O1595">
        <v>0.90863636363636369</v>
      </c>
    </row>
    <row r="1596" spans="1:15" x14ac:dyDescent="0.35">
      <c r="A1596" s="7" t="s">
        <v>239</v>
      </c>
      <c r="B1596" s="3">
        <v>0.84</v>
      </c>
      <c r="N1596" t="s">
        <v>413</v>
      </c>
      <c r="O1596">
        <v>0.88863636363636367</v>
      </c>
    </row>
    <row r="1597" spans="1:15" x14ac:dyDescent="0.35">
      <c r="A1597" s="8" t="s">
        <v>491</v>
      </c>
      <c r="B1597" s="4">
        <v>0.84</v>
      </c>
      <c r="N1597" t="s">
        <v>544</v>
      </c>
      <c r="O1597">
        <v>0.8490909090909089</v>
      </c>
    </row>
    <row r="1598" spans="1:15" x14ac:dyDescent="0.35">
      <c r="A1598" s="8" t="s">
        <v>206</v>
      </c>
      <c r="B1598" s="4">
        <v>0.82</v>
      </c>
      <c r="N1598" t="s">
        <v>206</v>
      </c>
      <c r="O1598">
        <v>0.84818181818181804</v>
      </c>
    </row>
    <row r="1599" spans="1:15" x14ac:dyDescent="0.35">
      <c r="A1599" s="8" t="s">
        <v>404</v>
      </c>
      <c r="B1599" s="4">
        <v>0.82</v>
      </c>
      <c r="N1599" t="s">
        <v>491</v>
      </c>
      <c r="O1599">
        <v>0.83227272727272716</v>
      </c>
    </row>
    <row r="1600" spans="1:15" x14ac:dyDescent="0.35">
      <c r="A1600" s="8" t="s">
        <v>701</v>
      </c>
      <c r="B1600" s="4">
        <v>0.81</v>
      </c>
      <c r="N1600" t="s">
        <v>102</v>
      </c>
      <c r="O1600">
        <v>0.8313636363636363</v>
      </c>
    </row>
    <row r="1601" spans="1:15" x14ac:dyDescent="0.35">
      <c r="A1601" s="7" t="s">
        <v>200</v>
      </c>
      <c r="B1601" s="3">
        <v>0.79</v>
      </c>
      <c r="N1601" t="s">
        <v>146</v>
      </c>
      <c r="O1601">
        <v>0.82045454545454544</v>
      </c>
    </row>
    <row r="1602" spans="1:15" x14ac:dyDescent="0.35">
      <c r="A1602" s="7" t="s">
        <v>825</v>
      </c>
      <c r="B1602" s="3">
        <v>0.73</v>
      </c>
      <c r="N1602" t="s">
        <v>509</v>
      </c>
      <c r="O1602">
        <v>0.78681818181818175</v>
      </c>
    </row>
    <row r="1603" spans="1:15" x14ac:dyDescent="0.35">
      <c r="A1603" s="7" t="s">
        <v>403</v>
      </c>
      <c r="B1603" s="3">
        <v>0.73</v>
      </c>
      <c r="N1603" t="s">
        <v>200</v>
      </c>
      <c r="O1603">
        <v>0.78681818181818164</v>
      </c>
    </row>
    <row r="1604" spans="1:15" x14ac:dyDescent="0.35">
      <c r="A1604" s="7" t="s">
        <v>556</v>
      </c>
      <c r="B1604" s="3">
        <v>0.73</v>
      </c>
      <c r="N1604" t="s">
        <v>404</v>
      </c>
      <c r="O1604">
        <v>0.75772727272727269</v>
      </c>
    </row>
    <row r="1605" spans="1:15" x14ac:dyDescent="0.35">
      <c r="A1605" s="8" t="s">
        <v>80</v>
      </c>
      <c r="B1605" s="4">
        <v>0.72</v>
      </c>
      <c r="N1605" t="s">
        <v>80</v>
      </c>
      <c r="O1605">
        <v>0.74272727272727268</v>
      </c>
    </row>
    <row r="1606" spans="1:15" x14ac:dyDescent="0.35">
      <c r="A1606" s="8" t="s">
        <v>847</v>
      </c>
      <c r="B1606" s="4">
        <v>0.72</v>
      </c>
      <c r="N1606" t="s">
        <v>825</v>
      </c>
      <c r="O1606">
        <v>0.73000000000000032</v>
      </c>
    </row>
    <row r="1607" spans="1:15" x14ac:dyDescent="0.35">
      <c r="A1607" s="7" t="s">
        <v>509</v>
      </c>
      <c r="B1607" s="3">
        <v>0.66</v>
      </c>
      <c r="N1607" t="s">
        <v>556</v>
      </c>
      <c r="O1607">
        <v>0.73000000000000032</v>
      </c>
    </row>
    <row r="1608" spans="1:15" x14ac:dyDescent="0.35">
      <c r="A1608" s="7" t="s">
        <v>120</v>
      </c>
      <c r="B1608" s="3">
        <v>0.65</v>
      </c>
      <c r="N1608" t="s">
        <v>847</v>
      </c>
      <c r="O1608">
        <v>0.71954545454545482</v>
      </c>
    </row>
    <row r="1609" spans="1:15" x14ac:dyDescent="0.35">
      <c r="A1609" s="7" t="s">
        <v>216</v>
      </c>
      <c r="B1609" s="3">
        <v>0.61</v>
      </c>
      <c r="N1609" t="s">
        <v>403</v>
      </c>
      <c r="O1609">
        <v>0.69909090909090921</v>
      </c>
    </row>
    <row r="1610" spans="1:15" x14ac:dyDescent="0.35">
      <c r="A1610" s="8" t="s">
        <v>422</v>
      </c>
      <c r="B1610" s="4">
        <v>0.61</v>
      </c>
      <c r="N1610" t="s">
        <v>701</v>
      </c>
      <c r="O1610">
        <v>0.67590909090909101</v>
      </c>
    </row>
    <row r="1611" spans="1:15" x14ac:dyDescent="0.35">
      <c r="A1611" s="8" t="s">
        <v>805</v>
      </c>
      <c r="B1611" s="4">
        <v>0.6</v>
      </c>
      <c r="N1611" t="s">
        <v>422</v>
      </c>
      <c r="O1611">
        <v>0.6277272727272728</v>
      </c>
    </row>
    <row r="1612" spans="1:15" x14ac:dyDescent="0.35">
      <c r="A1612" s="7" t="s">
        <v>129</v>
      </c>
      <c r="B1612" s="3">
        <v>0.6</v>
      </c>
      <c r="N1612" t="s">
        <v>120</v>
      </c>
      <c r="O1612">
        <v>0.62090909090909108</v>
      </c>
    </row>
    <row r="1613" spans="1:15" x14ac:dyDescent="0.35">
      <c r="A1613" s="8" t="s">
        <v>307</v>
      </c>
      <c r="B1613" s="4">
        <v>0.59</v>
      </c>
      <c r="N1613" t="s">
        <v>216</v>
      </c>
      <c r="O1613">
        <v>0.60636363636363622</v>
      </c>
    </row>
    <row r="1614" spans="1:15" x14ac:dyDescent="0.35">
      <c r="A1614" s="7" t="s">
        <v>545</v>
      </c>
      <c r="B1614" s="3">
        <v>0.56999999999999995</v>
      </c>
      <c r="N1614" t="s">
        <v>295</v>
      </c>
      <c r="O1614">
        <v>0.5972727272727274</v>
      </c>
    </row>
    <row r="1615" spans="1:15" x14ac:dyDescent="0.35">
      <c r="A1615" s="8" t="s">
        <v>295</v>
      </c>
      <c r="B1615" s="4">
        <v>0.56000000000000005</v>
      </c>
      <c r="N1615" t="s">
        <v>805</v>
      </c>
      <c r="O1615">
        <v>0.58363636363636351</v>
      </c>
    </row>
    <row r="1616" spans="1:15" x14ac:dyDescent="0.35">
      <c r="A1616" s="7" t="s">
        <v>708</v>
      </c>
      <c r="B1616" s="3">
        <v>0.56000000000000005</v>
      </c>
      <c r="N1616" t="s">
        <v>129</v>
      </c>
      <c r="O1616">
        <v>0.58363636363636351</v>
      </c>
    </row>
    <row r="1617" spans="1:15" x14ac:dyDescent="0.35">
      <c r="A1617" s="8" t="s">
        <v>135</v>
      </c>
      <c r="B1617" s="4">
        <v>0.52</v>
      </c>
      <c r="N1617" t="s">
        <v>660</v>
      </c>
      <c r="O1617">
        <v>0.55909090909090908</v>
      </c>
    </row>
    <row r="1618" spans="1:15" x14ac:dyDescent="0.35">
      <c r="A1618" s="7" t="s">
        <v>423</v>
      </c>
      <c r="B1618" s="3">
        <v>0.52</v>
      </c>
      <c r="N1618" t="s">
        <v>708</v>
      </c>
      <c r="O1618">
        <v>0.5563636363636365</v>
      </c>
    </row>
    <row r="1619" spans="1:15" x14ac:dyDescent="0.35">
      <c r="A1619" s="8" t="s">
        <v>660</v>
      </c>
      <c r="B1619" s="4">
        <v>0.5</v>
      </c>
      <c r="N1619" t="s">
        <v>545</v>
      </c>
      <c r="O1619">
        <v>0.5509090909090909</v>
      </c>
    </row>
    <row r="1620" spans="1:15" x14ac:dyDescent="0.35">
      <c r="A1620" s="8" t="s">
        <v>170</v>
      </c>
      <c r="B1620" s="4">
        <v>0.48</v>
      </c>
      <c r="N1620" t="s">
        <v>135</v>
      </c>
      <c r="O1620">
        <v>0.51999999999999968</v>
      </c>
    </row>
    <row r="1621" spans="1:15" x14ac:dyDescent="0.35">
      <c r="A1621" s="8" t="s">
        <v>582</v>
      </c>
      <c r="B1621" s="4">
        <v>0.48</v>
      </c>
      <c r="N1621" t="s">
        <v>307</v>
      </c>
      <c r="O1621">
        <v>0.5181818181818183</v>
      </c>
    </row>
    <row r="1622" spans="1:15" x14ac:dyDescent="0.35">
      <c r="A1622" s="7" t="s">
        <v>231</v>
      </c>
      <c r="B1622" s="3">
        <v>0.47</v>
      </c>
      <c r="N1622" t="s">
        <v>423</v>
      </c>
      <c r="O1622">
        <v>0.4872727272727273</v>
      </c>
    </row>
    <row r="1623" spans="1:15" x14ac:dyDescent="0.35">
      <c r="A1623" s="8" t="s">
        <v>575</v>
      </c>
      <c r="B1623" s="4">
        <v>0.47</v>
      </c>
      <c r="N1623" t="s">
        <v>170</v>
      </c>
      <c r="O1623">
        <v>0.48363636363636381</v>
      </c>
    </row>
    <row r="1624" spans="1:15" x14ac:dyDescent="0.35">
      <c r="A1624" s="8" t="s">
        <v>305</v>
      </c>
      <c r="B1624" s="4">
        <v>0.4</v>
      </c>
      <c r="N1624" t="s">
        <v>231</v>
      </c>
      <c r="O1624">
        <v>0.4736363636363638</v>
      </c>
    </row>
    <row r="1625" spans="1:15" x14ac:dyDescent="0.35">
      <c r="A1625" s="7" t="s">
        <v>644</v>
      </c>
      <c r="B1625" s="3">
        <v>0.39</v>
      </c>
      <c r="N1625" t="s">
        <v>582</v>
      </c>
      <c r="O1625">
        <v>0.46500000000000002</v>
      </c>
    </row>
    <row r="1626" spans="1:15" x14ac:dyDescent="0.35">
      <c r="A1626" s="8" t="s">
        <v>357</v>
      </c>
      <c r="B1626" s="4">
        <v>0.37</v>
      </c>
      <c r="N1626" t="s">
        <v>575</v>
      </c>
      <c r="O1626">
        <v>0.46272727272727282</v>
      </c>
    </row>
    <row r="1627" spans="1:15" x14ac:dyDescent="0.35">
      <c r="A1627" s="8" t="s">
        <v>114</v>
      </c>
      <c r="B1627" s="4">
        <v>0.36</v>
      </c>
      <c r="N1627" t="s">
        <v>305</v>
      </c>
      <c r="O1627">
        <v>0.43363636363636376</v>
      </c>
    </row>
    <row r="1628" spans="1:15" x14ac:dyDescent="0.35">
      <c r="A1628" s="8" t="s">
        <v>542</v>
      </c>
      <c r="B1628" s="4">
        <v>0.36</v>
      </c>
      <c r="N1628" t="s">
        <v>26</v>
      </c>
      <c r="O1628">
        <v>0.41818181818181815</v>
      </c>
    </row>
    <row r="1629" spans="1:15" x14ac:dyDescent="0.35">
      <c r="A1629" s="8" t="s">
        <v>26</v>
      </c>
      <c r="B1629" s="4">
        <v>0.35</v>
      </c>
      <c r="N1629" t="s">
        <v>114</v>
      </c>
      <c r="O1629">
        <v>0.37954545454545463</v>
      </c>
    </row>
    <row r="1630" spans="1:15" x14ac:dyDescent="0.35">
      <c r="A1630" s="7" t="s">
        <v>438</v>
      </c>
      <c r="B1630" s="3">
        <v>0.33</v>
      </c>
      <c r="N1630" t="s">
        <v>357</v>
      </c>
      <c r="O1630">
        <v>0.37454545454545446</v>
      </c>
    </row>
    <row r="1631" spans="1:15" x14ac:dyDescent="0.35">
      <c r="A1631" s="7" t="s">
        <v>136</v>
      </c>
      <c r="B1631" s="3">
        <v>0.32</v>
      </c>
      <c r="N1631" t="s">
        <v>644</v>
      </c>
      <c r="O1631">
        <v>0.36999999999999994</v>
      </c>
    </row>
    <row r="1632" spans="1:15" x14ac:dyDescent="0.35">
      <c r="A1632" s="8" t="s">
        <v>147</v>
      </c>
      <c r="B1632" s="4">
        <v>0.32</v>
      </c>
      <c r="N1632" t="s">
        <v>542</v>
      </c>
      <c r="O1632">
        <v>0.3422727272727274</v>
      </c>
    </row>
    <row r="1633" spans="1:15" x14ac:dyDescent="0.35">
      <c r="A1633" s="7" t="s">
        <v>27</v>
      </c>
      <c r="B1633" s="3">
        <v>0.31</v>
      </c>
      <c r="N1633" t="s">
        <v>147</v>
      </c>
      <c r="O1633">
        <v>0.32954545454545459</v>
      </c>
    </row>
    <row r="1634" spans="1:15" x14ac:dyDescent="0.35">
      <c r="A1634" s="8" t="s">
        <v>416</v>
      </c>
      <c r="B1634" s="4">
        <v>0.31</v>
      </c>
      <c r="N1634" t="s">
        <v>438</v>
      </c>
      <c r="O1634">
        <v>0.32136363636363635</v>
      </c>
    </row>
    <row r="1635" spans="1:15" x14ac:dyDescent="0.35">
      <c r="A1635" s="7" t="s">
        <v>566</v>
      </c>
      <c r="B1635" s="3">
        <v>0.3</v>
      </c>
      <c r="N1635" t="s">
        <v>27</v>
      </c>
      <c r="O1635">
        <v>0.30999999999999983</v>
      </c>
    </row>
    <row r="1636" spans="1:15" x14ac:dyDescent="0.35">
      <c r="A1636" s="8" t="s">
        <v>638</v>
      </c>
      <c r="B1636" s="4">
        <v>0.28999999999999998</v>
      </c>
      <c r="N1636" t="s">
        <v>416</v>
      </c>
      <c r="O1636">
        <v>0.30999999999999983</v>
      </c>
    </row>
    <row r="1637" spans="1:15" x14ac:dyDescent="0.35">
      <c r="A1637" s="7" t="s">
        <v>742</v>
      </c>
      <c r="B1637" s="3">
        <v>0.28999999999999998</v>
      </c>
      <c r="N1637" t="s">
        <v>638</v>
      </c>
      <c r="O1637">
        <v>0.30272727272727268</v>
      </c>
    </row>
    <row r="1638" spans="1:15" x14ac:dyDescent="0.35">
      <c r="A1638" s="7" t="s">
        <v>560</v>
      </c>
      <c r="B1638" s="3">
        <v>0.28000000000000003</v>
      </c>
      <c r="N1638" t="s">
        <v>136</v>
      </c>
      <c r="O1638">
        <v>0.29772727272727273</v>
      </c>
    </row>
    <row r="1639" spans="1:15" x14ac:dyDescent="0.35">
      <c r="A1639" s="8" t="s">
        <v>714</v>
      </c>
      <c r="B1639" s="4">
        <v>0.28000000000000003</v>
      </c>
      <c r="N1639" t="s">
        <v>566</v>
      </c>
      <c r="O1639">
        <v>0.29409090909090901</v>
      </c>
    </row>
    <row r="1640" spans="1:15" x14ac:dyDescent="0.35">
      <c r="A1640" s="7" t="s">
        <v>419</v>
      </c>
      <c r="B1640" s="3">
        <v>0.26</v>
      </c>
      <c r="N1640" t="s">
        <v>742</v>
      </c>
      <c r="O1640">
        <v>0.28818181818181821</v>
      </c>
    </row>
    <row r="1641" spans="1:15" x14ac:dyDescent="0.35">
      <c r="A1641" s="7" t="s">
        <v>704</v>
      </c>
      <c r="B1641" s="3">
        <v>0.26</v>
      </c>
      <c r="N1641" t="s">
        <v>714</v>
      </c>
      <c r="O1641">
        <v>0.280909090909091</v>
      </c>
    </row>
    <row r="1642" spans="1:15" x14ac:dyDescent="0.35">
      <c r="A1642" s="8" t="s">
        <v>275</v>
      </c>
      <c r="B1642" s="4">
        <v>0.25</v>
      </c>
      <c r="N1642" t="s">
        <v>560</v>
      </c>
      <c r="O1642">
        <v>0.27727272727272739</v>
      </c>
    </row>
    <row r="1643" spans="1:15" x14ac:dyDescent="0.35">
      <c r="A1643" s="7" t="s">
        <v>399</v>
      </c>
      <c r="B1643" s="3">
        <v>0.25</v>
      </c>
      <c r="N1643" t="s">
        <v>513</v>
      </c>
      <c r="O1643">
        <v>0.26318181818181824</v>
      </c>
    </row>
    <row r="1644" spans="1:15" x14ac:dyDescent="0.35">
      <c r="A1644" s="7" t="s">
        <v>830</v>
      </c>
      <c r="B1644" s="3">
        <v>0.24</v>
      </c>
      <c r="N1644" t="s">
        <v>704</v>
      </c>
      <c r="O1644">
        <v>0.26136363636363619</v>
      </c>
    </row>
    <row r="1645" spans="1:15" x14ac:dyDescent="0.35">
      <c r="A1645" s="7" t="s">
        <v>513</v>
      </c>
      <c r="B1645" s="3">
        <v>0.24</v>
      </c>
      <c r="N1645" t="s">
        <v>399</v>
      </c>
      <c r="O1645">
        <v>0.25954545454545452</v>
      </c>
    </row>
    <row r="1646" spans="1:15" x14ac:dyDescent="0.35">
      <c r="A1646" s="8" t="s">
        <v>577</v>
      </c>
      <c r="B1646" s="4">
        <v>0.24</v>
      </c>
      <c r="N1646" t="s">
        <v>419</v>
      </c>
      <c r="O1646">
        <v>0.25636363636363624</v>
      </c>
    </row>
    <row r="1647" spans="1:15" x14ac:dyDescent="0.35">
      <c r="A1647" s="7" t="s">
        <v>286</v>
      </c>
      <c r="B1647" s="3">
        <v>0.22</v>
      </c>
      <c r="N1647" t="s">
        <v>156</v>
      </c>
      <c r="O1647">
        <v>0.25090909090909097</v>
      </c>
    </row>
    <row r="1648" spans="1:15" x14ac:dyDescent="0.35">
      <c r="A1648" s="7" t="s">
        <v>884</v>
      </c>
      <c r="B1648" s="3">
        <v>0.22</v>
      </c>
      <c r="N1648" t="s">
        <v>275</v>
      </c>
      <c r="O1648">
        <v>0.24727272727272728</v>
      </c>
    </row>
    <row r="1649" spans="1:15" x14ac:dyDescent="0.35">
      <c r="A1649" s="8" t="s">
        <v>546</v>
      </c>
      <c r="B1649" s="4">
        <v>0.21</v>
      </c>
      <c r="N1649" t="s">
        <v>830</v>
      </c>
      <c r="O1649">
        <v>0.22590909090909098</v>
      </c>
    </row>
    <row r="1650" spans="1:15" x14ac:dyDescent="0.35">
      <c r="A1650" s="7" t="s">
        <v>207</v>
      </c>
      <c r="B1650" s="3">
        <v>0.2</v>
      </c>
      <c r="N1650" t="s">
        <v>577</v>
      </c>
      <c r="O1650">
        <v>0.22590909090909098</v>
      </c>
    </row>
    <row r="1651" spans="1:15" x14ac:dyDescent="0.35">
      <c r="A1651" s="8" t="s">
        <v>156</v>
      </c>
      <c r="B1651" s="4">
        <v>0.19</v>
      </c>
      <c r="N1651" t="s">
        <v>286</v>
      </c>
      <c r="O1651">
        <v>0.21454545454545454</v>
      </c>
    </row>
    <row r="1652" spans="1:15" x14ac:dyDescent="0.35">
      <c r="A1652" s="7" t="s">
        <v>268</v>
      </c>
      <c r="B1652" s="3">
        <v>0.19</v>
      </c>
      <c r="N1652" t="s">
        <v>884</v>
      </c>
      <c r="O1652">
        <v>0.21454545454545454</v>
      </c>
    </row>
    <row r="1653" spans="1:15" x14ac:dyDescent="0.35">
      <c r="A1653" s="7" t="s">
        <v>252</v>
      </c>
      <c r="B1653" s="3">
        <v>0.16</v>
      </c>
      <c r="N1653" t="s">
        <v>207</v>
      </c>
      <c r="O1653">
        <v>0.20954545454545465</v>
      </c>
    </row>
    <row r="1654" spans="1:15" x14ac:dyDescent="0.35">
      <c r="A1654" s="8" t="s">
        <v>411</v>
      </c>
      <c r="B1654" s="4">
        <v>0.15</v>
      </c>
      <c r="N1654" t="s">
        <v>546</v>
      </c>
      <c r="O1654">
        <v>0.20090909090909095</v>
      </c>
    </row>
    <row r="1655" spans="1:15" x14ac:dyDescent="0.35">
      <c r="A1655" s="7" t="s">
        <v>436</v>
      </c>
      <c r="B1655" s="3">
        <v>0.12</v>
      </c>
      <c r="N1655" t="s">
        <v>268</v>
      </c>
      <c r="O1655">
        <v>0.18409090909090911</v>
      </c>
    </row>
    <row r="1656" spans="1:15" x14ac:dyDescent="0.35">
      <c r="A1656" s="7" t="s">
        <v>574</v>
      </c>
      <c r="B1656" s="3">
        <v>0.12</v>
      </c>
      <c r="N1656" t="s">
        <v>252</v>
      </c>
      <c r="O1656">
        <v>0.15545454545454548</v>
      </c>
    </row>
    <row r="1657" spans="1:15" x14ac:dyDescent="0.35">
      <c r="A1657" s="8" t="s">
        <v>741</v>
      </c>
      <c r="B1657" s="4">
        <v>0.11</v>
      </c>
      <c r="N1657" t="s">
        <v>411</v>
      </c>
      <c r="O1657">
        <v>0.14409090909090908</v>
      </c>
    </row>
    <row r="1658" spans="1:15" x14ac:dyDescent="0.35">
      <c r="A1658" s="7" t="s">
        <v>490</v>
      </c>
      <c r="B1658" s="3">
        <v>0.1</v>
      </c>
      <c r="N1658" t="s">
        <v>574</v>
      </c>
      <c r="O1658">
        <v>0.11409090909090915</v>
      </c>
    </row>
    <row r="1659" spans="1:15" x14ac:dyDescent="0.35">
      <c r="A1659" s="7" t="s">
        <v>562</v>
      </c>
      <c r="B1659" s="3">
        <v>0.1</v>
      </c>
      <c r="N1659" t="s">
        <v>436</v>
      </c>
      <c r="O1659">
        <v>0.11181818181818183</v>
      </c>
    </row>
    <row r="1660" spans="1:15" x14ac:dyDescent="0.35">
      <c r="A1660" s="8" t="s">
        <v>249</v>
      </c>
      <c r="B1660" s="4">
        <v>0.09</v>
      </c>
      <c r="N1660" t="s">
        <v>741</v>
      </c>
      <c r="O1660">
        <v>0.11000000000000001</v>
      </c>
    </row>
    <row r="1661" spans="1:15" x14ac:dyDescent="0.35">
      <c r="A1661" s="8" t="s">
        <v>559</v>
      </c>
      <c r="B1661" s="4">
        <v>0.09</v>
      </c>
      <c r="N1661" t="s">
        <v>249</v>
      </c>
      <c r="O1661">
        <v>9.9090909090909118E-2</v>
      </c>
    </row>
    <row r="1662" spans="1:15" x14ac:dyDescent="0.35">
      <c r="A1662" s="8" t="s">
        <v>226</v>
      </c>
      <c r="B1662" s="4">
        <v>0.08</v>
      </c>
      <c r="N1662" t="s">
        <v>490</v>
      </c>
      <c r="O1662">
        <v>9.6818181818181859E-2</v>
      </c>
    </row>
    <row r="1663" spans="1:15" x14ac:dyDescent="0.35">
      <c r="A1663" s="7" t="s">
        <v>583</v>
      </c>
      <c r="B1663" s="3">
        <v>0.08</v>
      </c>
      <c r="N1663" t="s">
        <v>562</v>
      </c>
      <c r="O1663">
        <v>9.6363636363636387E-2</v>
      </c>
    </row>
    <row r="1664" spans="1:15" x14ac:dyDescent="0.35">
      <c r="A1664" s="7" t="s">
        <v>609</v>
      </c>
      <c r="B1664" s="3">
        <v>0.08</v>
      </c>
      <c r="N1664" t="s">
        <v>559</v>
      </c>
      <c r="O1664">
        <v>8.7727272727272751E-2</v>
      </c>
    </row>
    <row r="1665" spans="1:15" x14ac:dyDescent="0.35">
      <c r="A1665" s="7" t="s">
        <v>256</v>
      </c>
      <c r="B1665" s="3">
        <v>0.06</v>
      </c>
      <c r="N1665" t="s">
        <v>609</v>
      </c>
      <c r="O1665">
        <v>8.0000000000000016E-2</v>
      </c>
    </row>
    <row r="1666" spans="1:15" x14ac:dyDescent="0.35">
      <c r="A1666" s="7" t="s">
        <v>122</v>
      </c>
      <c r="B1666" s="3">
        <v>0.05</v>
      </c>
      <c r="N1666" t="s">
        <v>583</v>
      </c>
      <c r="O1666">
        <v>7.81818181818182E-2</v>
      </c>
    </row>
    <row r="1667" spans="1:15" x14ac:dyDescent="0.35">
      <c r="A1667" s="8" t="s">
        <v>145</v>
      </c>
      <c r="B1667" s="4">
        <v>0.05</v>
      </c>
      <c r="N1667" t="s">
        <v>226</v>
      </c>
      <c r="O1667">
        <v>7.6363636363636384E-2</v>
      </c>
    </row>
    <row r="1668" spans="1:15" x14ac:dyDescent="0.35">
      <c r="A1668" s="7" t="s">
        <v>576</v>
      </c>
      <c r="B1668" s="3">
        <v>0.04</v>
      </c>
      <c r="N1668" t="s">
        <v>256</v>
      </c>
      <c r="O1668">
        <v>5.2727272727272741E-2</v>
      </c>
    </row>
    <row r="1669" spans="1:15" x14ac:dyDescent="0.35">
      <c r="A1669" s="8" t="s">
        <v>127</v>
      </c>
      <c r="B1669" s="4">
        <v>0.03</v>
      </c>
      <c r="N1669" t="s">
        <v>122</v>
      </c>
      <c r="O1669">
        <v>4.8636363636363651E-2</v>
      </c>
    </row>
    <row r="1670" spans="1:15" x14ac:dyDescent="0.35">
      <c r="A1670" s="8" t="s">
        <v>743</v>
      </c>
      <c r="B1670" s="4">
        <v>0.03</v>
      </c>
      <c r="N1670" t="s">
        <v>145</v>
      </c>
      <c r="O1670">
        <v>4.5000000000000012E-2</v>
      </c>
    </row>
    <row r="1671" spans="1:15" x14ac:dyDescent="0.35">
      <c r="A1671" s="7" t="s">
        <v>130</v>
      </c>
      <c r="B1671" s="3">
        <v>0.02</v>
      </c>
      <c r="N1671" t="s">
        <v>576</v>
      </c>
      <c r="O1671">
        <v>4.0000000000000008E-2</v>
      </c>
    </row>
    <row r="1672" spans="1:15" x14ac:dyDescent="0.35">
      <c r="A1672" s="7" t="s">
        <v>362</v>
      </c>
      <c r="B1672" s="3">
        <v>0.02</v>
      </c>
      <c r="N1672" t="s">
        <v>127</v>
      </c>
      <c r="O1672">
        <v>3.0000000000000016E-2</v>
      </c>
    </row>
    <row r="1673" spans="1:15" x14ac:dyDescent="0.35">
      <c r="A1673" s="7" t="s">
        <v>405</v>
      </c>
      <c r="B1673" s="3">
        <v>0.02</v>
      </c>
      <c r="N1673" t="s">
        <v>743</v>
      </c>
      <c r="O1673">
        <v>3.0000000000000016E-2</v>
      </c>
    </row>
    <row r="1674" spans="1:15" x14ac:dyDescent="0.35">
      <c r="A1674" s="7" t="s">
        <v>412</v>
      </c>
      <c r="B1674" s="3">
        <v>0.02</v>
      </c>
      <c r="N1674" t="s">
        <v>130</v>
      </c>
      <c r="O1674">
        <v>2.0000000000000004E-2</v>
      </c>
    </row>
    <row r="1675" spans="1:15" x14ac:dyDescent="0.35">
      <c r="A1675" s="7" t="s">
        <v>9</v>
      </c>
      <c r="B1675" s="3">
        <v>0</v>
      </c>
      <c r="N1675" t="s">
        <v>362</v>
      </c>
      <c r="O1675">
        <v>2.0000000000000004E-2</v>
      </c>
    </row>
    <row r="1676" spans="1:15" x14ac:dyDescent="0.35">
      <c r="A1676" s="8" t="s">
        <v>62</v>
      </c>
      <c r="B1676" s="4">
        <v>0</v>
      </c>
      <c r="N1676" t="s">
        <v>412</v>
      </c>
      <c r="O1676">
        <v>2.0000000000000004E-2</v>
      </c>
    </row>
    <row r="1677" spans="1:15" x14ac:dyDescent="0.35">
      <c r="A1677" s="7" t="s">
        <v>157</v>
      </c>
      <c r="B1677" s="3">
        <v>0</v>
      </c>
      <c r="N1677" t="s">
        <v>405</v>
      </c>
      <c r="O1677">
        <v>1.8636363636363642E-2</v>
      </c>
    </row>
    <row r="1678" spans="1:15" x14ac:dyDescent="0.35">
      <c r="A1678" s="7" t="s">
        <v>288</v>
      </c>
      <c r="B1678" s="3">
        <v>0</v>
      </c>
    </row>
    <row r="1679" spans="1:15" x14ac:dyDescent="0.35">
      <c r="A1679" s="7" t="s">
        <v>443</v>
      </c>
      <c r="B1679" s="3">
        <v>0</v>
      </c>
    </row>
  </sheetData>
  <sortState xmlns:xlrd2="http://schemas.microsoft.com/office/spreadsheetml/2017/richdata2" ref="N846:O1677">
    <sortCondition descending="1" ref="O846:O1677"/>
  </sortState>
  <mergeCells count="1">
    <mergeCell ref="A844:K844"/>
  </mergeCells>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EEB1A-747F-4542-9C96-04BF4D0751D8}">
  <dimension ref="A1:AF836"/>
  <sheetViews>
    <sheetView topLeftCell="V46" zoomScale="58" zoomScaleNormal="72" workbookViewId="0">
      <selection activeCell="D14" sqref="D14"/>
    </sheetView>
  </sheetViews>
  <sheetFormatPr defaultRowHeight="14.5" x14ac:dyDescent="0.35"/>
  <cols>
    <col min="1" max="1" width="53.26953125" style="17" bestFit="1" customWidth="1"/>
    <col min="2" max="3" width="8.7265625" style="17"/>
    <col min="4" max="4" width="16.6328125" style="17" bestFit="1" customWidth="1"/>
    <col min="5" max="15" width="8.7265625" style="17"/>
    <col min="16" max="16" width="18.81640625" style="17" bestFit="1" customWidth="1"/>
    <col min="17" max="17" width="24.08984375" style="17" bestFit="1" customWidth="1"/>
    <col min="18" max="18" width="21.90625" style="17" bestFit="1" customWidth="1"/>
    <col min="19" max="19" width="21.36328125" style="17" bestFit="1" customWidth="1"/>
    <col min="20" max="20" width="44.453125" style="17" bestFit="1" customWidth="1"/>
    <col min="21" max="21" width="19.54296875" style="17" bestFit="1" customWidth="1"/>
    <col min="22" max="22" width="15.1796875" style="17" bestFit="1" customWidth="1"/>
    <col min="23" max="23" width="21" style="17" bestFit="1" customWidth="1"/>
    <col min="24" max="24" width="20.26953125" style="17" bestFit="1" customWidth="1"/>
    <col min="25" max="25" width="20.6328125" style="17" bestFit="1" customWidth="1"/>
    <col min="26" max="26" width="15.36328125" style="17" bestFit="1" customWidth="1"/>
    <col min="27" max="27" width="19.36328125" style="17" bestFit="1" customWidth="1"/>
    <col min="28" max="28" width="22.453125" style="17" bestFit="1" customWidth="1"/>
    <col min="29" max="29" width="14.453125" style="17" bestFit="1" customWidth="1"/>
    <col min="30" max="30" width="11.08984375" style="17" bestFit="1" customWidth="1"/>
    <col min="31" max="31" width="10.26953125" style="17" bestFit="1" customWidth="1"/>
    <col min="32" max="32" width="19.90625" style="17" bestFit="1" customWidth="1"/>
    <col min="33" max="33" width="29.26953125" style="17" bestFit="1" customWidth="1"/>
    <col min="34" max="34" width="22.453125" style="17" bestFit="1" customWidth="1"/>
    <col min="35" max="35" width="32" style="17" bestFit="1" customWidth="1"/>
    <col min="36" max="36" width="29.26953125" style="17" bestFit="1" customWidth="1"/>
    <col min="37" max="37" width="22.453125" style="17" bestFit="1" customWidth="1"/>
    <col min="38" max="38" width="32" style="17" bestFit="1" customWidth="1"/>
    <col min="39" max="39" width="29.26953125" style="17" bestFit="1" customWidth="1"/>
    <col min="40" max="40" width="22.453125" style="17" bestFit="1" customWidth="1"/>
    <col min="41" max="41" width="32" style="17" bestFit="1" customWidth="1"/>
    <col min="42" max="42" width="29.26953125" style="17" bestFit="1" customWidth="1"/>
    <col min="43" max="43" width="22.453125" style="17" bestFit="1" customWidth="1"/>
    <col min="44" max="44" width="32" style="17" bestFit="1" customWidth="1"/>
    <col min="45" max="45" width="29.26953125" style="17" bestFit="1" customWidth="1"/>
    <col min="46" max="46" width="22.453125" style="17" bestFit="1" customWidth="1"/>
    <col min="47" max="47" width="32" style="17" bestFit="1" customWidth="1"/>
    <col min="48" max="48" width="29.26953125" style="17" bestFit="1" customWidth="1"/>
    <col min="49" max="49" width="22.453125" style="17" bestFit="1" customWidth="1"/>
    <col min="50" max="50" width="32" style="17" bestFit="1" customWidth="1"/>
    <col min="51" max="51" width="29.26953125" style="17" bestFit="1" customWidth="1"/>
    <col min="52" max="52" width="22.453125" style="17" bestFit="1" customWidth="1"/>
    <col min="53" max="53" width="32" style="17" bestFit="1" customWidth="1"/>
    <col min="54" max="54" width="29.26953125" style="17" bestFit="1" customWidth="1"/>
    <col min="55" max="55" width="22.453125" style="17" bestFit="1" customWidth="1"/>
    <col min="56" max="56" width="32" style="17" bestFit="1" customWidth="1"/>
    <col min="57" max="57" width="29.26953125" style="17" bestFit="1" customWidth="1"/>
    <col min="58" max="58" width="22.453125" style="17" bestFit="1" customWidth="1"/>
    <col min="59" max="59" width="32" style="17" bestFit="1" customWidth="1"/>
    <col min="60" max="60" width="29.26953125" style="17" bestFit="1" customWidth="1"/>
    <col min="61" max="61" width="22.453125" style="17" bestFit="1" customWidth="1"/>
    <col min="62" max="62" width="32" style="17" bestFit="1" customWidth="1"/>
    <col min="63" max="63" width="29.26953125" style="17" bestFit="1" customWidth="1"/>
    <col min="64" max="64" width="22.453125" style="17" bestFit="1" customWidth="1"/>
    <col min="65" max="65" width="32" style="17" bestFit="1" customWidth="1"/>
    <col min="66" max="66" width="29.26953125" style="17" bestFit="1" customWidth="1"/>
    <col min="67" max="67" width="22.453125" style="17" bestFit="1" customWidth="1"/>
    <col min="68" max="68" width="32" style="17" bestFit="1" customWidth="1"/>
    <col min="69" max="69" width="29.26953125" style="17" bestFit="1" customWidth="1"/>
    <col min="70" max="70" width="22.453125" style="17" bestFit="1" customWidth="1"/>
    <col min="71" max="71" width="32" style="17" bestFit="1" customWidth="1"/>
    <col min="72" max="72" width="29.26953125" style="17" bestFit="1" customWidth="1"/>
    <col min="73" max="73" width="22.453125" style="17" bestFit="1" customWidth="1"/>
    <col min="74" max="74" width="32" style="17" bestFit="1" customWidth="1"/>
    <col min="75" max="75" width="29.26953125" style="17" bestFit="1" customWidth="1"/>
    <col min="76" max="76" width="22.453125" style="17" bestFit="1" customWidth="1"/>
    <col min="77" max="77" width="32" style="17" bestFit="1" customWidth="1"/>
    <col min="78" max="78" width="29.26953125" style="17" bestFit="1" customWidth="1"/>
    <col min="79" max="79" width="22.453125" style="17" bestFit="1" customWidth="1"/>
    <col min="80" max="80" width="32" style="17" bestFit="1" customWidth="1"/>
    <col min="81" max="81" width="29.26953125" style="17" bestFit="1" customWidth="1"/>
    <col min="82" max="82" width="22.453125" style="17" bestFit="1" customWidth="1"/>
    <col min="83" max="83" width="36.54296875" style="17" bestFit="1" customWidth="1"/>
    <col min="84" max="84" width="33.90625" style="17" bestFit="1" customWidth="1"/>
    <col min="85" max="85" width="27" style="17" bestFit="1" customWidth="1"/>
    <col min="86" max="86" width="33.90625" style="17" bestFit="1" customWidth="1"/>
    <col min="87" max="87" width="27" style="17" bestFit="1" customWidth="1"/>
    <col min="88" max="88" width="36.54296875" style="17" bestFit="1" customWidth="1"/>
    <col min="89" max="89" width="33.90625" style="17" bestFit="1" customWidth="1"/>
    <col min="90" max="91" width="27" style="17" bestFit="1" customWidth="1"/>
    <col min="92" max="16384" width="8.7265625" style="17"/>
  </cols>
  <sheetData>
    <row r="1" spans="1:31" x14ac:dyDescent="0.35">
      <c r="A1" s="17" t="s">
        <v>911</v>
      </c>
      <c r="P1" s="17" t="s">
        <v>912</v>
      </c>
    </row>
    <row r="2" spans="1:31" x14ac:dyDescent="0.35">
      <c r="A2" s="15" t="s">
        <v>784</v>
      </c>
      <c r="B2" s="16" t="s">
        <v>785</v>
      </c>
      <c r="D2" s="15" t="s">
        <v>786</v>
      </c>
      <c r="E2" s="16" t="s">
        <v>787</v>
      </c>
      <c r="P2" s="18" t="s">
        <v>893</v>
      </c>
      <c r="Q2" s="18" t="s">
        <v>900</v>
      </c>
      <c r="R2" s="18" t="s">
        <v>862</v>
      </c>
      <c r="S2" s="18" t="s">
        <v>788</v>
      </c>
      <c r="T2" s="18" t="s">
        <v>176</v>
      </c>
      <c r="U2" s="18" t="s">
        <v>869</v>
      </c>
      <c r="V2" s="18" t="s">
        <v>297</v>
      </c>
      <c r="W2" s="18" t="s">
        <v>795</v>
      </c>
      <c r="X2" s="18" t="s">
        <v>602</v>
      </c>
      <c r="Y2" s="18" t="s">
        <v>882</v>
      </c>
      <c r="Z2" s="18" t="s">
        <v>442</v>
      </c>
      <c r="AA2" s="18" t="s">
        <v>289</v>
      </c>
      <c r="AB2" s="18" t="s">
        <v>879</v>
      </c>
      <c r="AC2" s="18" t="s">
        <v>812</v>
      </c>
      <c r="AD2" s="18" t="s">
        <v>584</v>
      </c>
      <c r="AE2" s="18" t="s">
        <v>464</v>
      </c>
    </row>
    <row r="3" spans="1:31" x14ac:dyDescent="0.35">
      <c r="A3" s="13" t="s">
        <v>862</v>
      </c>
      <c r="B3" s="14">
        <v>1390.31</v>
      </c>
      <c r="D3" s="13" t="s">
        <v>885</v>
      </c>
      <c r="E3" s="14">
        <v>8713.01</v>
      </c>
      <c r="P3" s="18" t="s">
        <v>758</v>
      </c>
      <c r="Q3" s="19">
        <f>DATEVALUE(_xlfn.CONCAT("01-",RIGHT(P3,3),"-",LEFT(P3,4)))</f>
        <v>44562</v>
      </c>
      <c r="R3" s="18">
        <f>INDEX(wpi_data_prepped[[2022-Jan]:[2023-Oct]],MATCH(R$2,wpi_data_prepped[category/commodity],0),MATCH($P3,wpi_data_prepped[[#Headers],[2022-Jan]:[2023-Oct]],0))</f>
        <v>1356.59</v>
      </c>
      <c r="S3" s="18">
        <f>INDEX(wpi_data_prepped[[2022-Jan]:[2023-Oct]],MATCH(S$2,wpi_data_prepped[category/commodity],0),MATCH($P3,wpi_data_prepped[[#Headers],[2022-Jan]:[2023-Oct]],0))</f>
        <v>1303.48</v>
      </c>
      <c r="T3" s="18">
        <f>INDEX(wpi_data_prepped[[2022-Jan]:[2023-Oct]],MATCH(T$2,wpi_data_prepped[category/commodity],0),MATCH($P3,wpi_data_prepped[[#Headers],[2022-Jan]:[2023-Oct]],0))</f>
        <v>975.84</v>
      </c>
      <c r="U3" s="18">
        <f>INDEX(wpi_data_prepped[[2022-Jan]:[2023-Oct]],MATCH(U$2,wpi_data_prepped[category/commodity],0),MATCH($P3,wpi_data_prepped[[#Headers],[2022-Jan]:[2023-Oct]],0))</f>
        <v>841.8</v>
      </c>
      <c r="V3" s="18">
        <f>INDEX(wpi_data_prepped[[2022-Jan]:[2023-Oct]],MATCH(V$2,wpi_data_prepped[category/commodity],0),MATCH($P3,wpi_data_prepped[[#Headers],[2022-Jan]:[2023-Oct]],0))</f>
        <v>664.94</v>
      </c>
      <c r="W3" s="18">
        <f>INDEX(wpi_data_prepped[[2022-Jan]:[2023-Oct]],MATCH(W$2,wpi_data_prepped[category/commodity],0),MATCH($P3,wpi_data_prepped[[#Headers],[2022-Jan]:[2023-Oct]],0))</f>
        <v>678.84</v>
      </c>
      <c r="X3" s="18">
        <f>INDEX(wpi_data_prepped[[2022-Jan]:[2023-Oct]],MATCH(X$2,wpi_data_prepped[category/commodity],0),MATCH($P3,wpi_data_prepped[[#Headers],[2022-Jan]:[2023-Oct]],0))</f>
        <v>635.07000000000005</v>
      </c>
      <c r="Y3" s="18">
        <f>INDEX(wpi_data_prepped[[2022-Jan]:[2023-Oct]],MATCH(Y$2,wpi_data_prepped[category/commodity],0),MATCH($P3,wpi_data_prepped[[#Headers],[2022-Jan]:[2023-Oct]],0))</f>
        <v>632.67999999999995</v>
      </c>
      <c r="Z3" s="18">
        <f>INDEX(wpi_data_prepped[[2022-Jan]:[2023-Oct]],MATCH(Z$2,wpi_data_prepped[category/commodity],0),MATCH($P3,wpi_data_prepped[[#Headers],[2022-Jan]:[2023-Oct]],0))</f>
        <v>610.86</v>
      </c>
      <c r="AA3" s="18">
        <f>INDEX(wpi_data_prepped[[2022-Jan]:[2023-Oct]],MATCH(AA$2,wpi_data_prepped[category/commodity],0),MATCH($P3,wpi_data_prepped[[#Headers],[2022-Jan]:[2023-Oct]],0))</f>
        <v>546.78</v>
      </c>
      <c r="AB3" s="18">
        <f>INDEX(wpi_data_prepped[[2022-Jan]:[2023-Oct]],MATCH(AB$2,wpi_data_prepped[category/commodity],0),MATCH($P3,wpi_data_prepped[[#Headers],[2022-Jan]:[2023-Oct]],0))</f>
        <v>569.80999999999995</v>
      </c>
      <c r="AC3" s="18">
        <v>8514.43</v>
      </c>
      <c r="AD3" s="18">
        <v>3537.29</v>
      </c>
      <c r="AE3" s="18">
        <v>1673.99</v>
      </c>
    </row>
    <row r="4" spans="1:31" x14ac:dyDescent="0.35">
      <c r="A4" s="13" t="s">
        <v>788</v>
      </c>
      <c r="B4" s="14">
        <v>1295.28</v>
      </c>
      <c r="D4" s="13" t="s">
        <v>887</v>
      </c>
      <c r="E4" s="14">
        <v>3913.2</v>
      </c>
      <c r="P4" s="18" t="s">
        <v>759</v>
      </c>
      <c r="Q4" s="19">
        <f>DATEVALUE(_xlfn.CONCAT("01-",RIGHT(P4,3),"-",LEFT(P4,4)))</f>
        <v>44593</v>
      </c>
      <c r="R4" s="18">
        <f>INDEX(wpi_data_prepped[[2022-Jan]:[2023-Oct]],MATCH(R$2,wpi_data_prepped[category/commodity],0),MATCH($P4,wpi_data_prepped[[#Headers],[2022-Jan]:[2023-Oct]],0))</f>
        <v>1387.71</v>
      </c>
      <c r="S4" s="18">
        <f>INDEX(wpi_data_prepped[[2022-Jan]:[2023-Oct]],MATCH(S$2,wpi_data_prepped[category/commodity],0),MATCH($P4,wpi_data_prepped[[#Headers],[2022-Jan]:[2023-Oct]],0))</f>
        <v>1339.92</v>
      </c>
      <c r="T4" s="18">
        <f>INDEX(wpi_data_prepped[[2022-Jan]:[2023-Oct]],MATCH(T$2,wpi_data_prepped[category/commodity],0),MATCH($P4,wpi_data_prepped[[#Headers],[2022-Jan]:[2023-Oct]],0))</f>
        <v>1021.59</v>
      </c>
      <c r="U4" s="18">
        <f>INDEX(wpi_data_prepped[[2022-Jan]:[2023-Oct]],MATCH(U$2,wpi_data_prepped[category/commodity],0),MATCH($P4,wpi_data_prepped[[#Headers],[2022-Jan]:[2023-Oct]],0))</f>
        <v>852.21</v>
      </c>
      <c r="V4" s="18">
        <f>INDEX(wpi_data_prepped[[2022-Jan]:[2023-Oct]],MATCH(V$2,wpi_data_prepped[category/commodity],0),MATCH($P4,wpi_data_prepped[[#Headers],[2022-Jan]:[2023-Oct]],0))</f>
        <v>666.63</v>
      </c>
      <c r="W4" s="18">
        <f>INDEX(wpi_data_prepped[[2022-Jan]:[2023-Oct]],MATCH(W$2,wpi_data_prepped[category/commodity],0),MATCH($P4,wpi_data_prepped[[#Headers],[2022-Jan]:[2023-Oct]],0))</f>
        <v>689.49</v>
      </c>
      <c r="X4" s="18">
        <f>INDEX(wpi_data_prepped[[2022-Jan]:[2023-Oct]],MATCH(X$2,wpi_data_prepped[category/commodity],0),MATCH($P4,wpi_data_prepped[[#Headers],[2022-Jan]:[2023-Oct]],0))</f>
        <v>651.53</v>
      </c>
      <c r="Y4" s="18">
        <f>INDEX(wpi_data_prepped[[2022-Jan]:[2023-Oct]],MATCH(Y$2,wpi_data_prepped[category/commodity],0),MATCH($P4,wpi_data_prepped[[#Headers],[2022-Jan]:[2023-Oct]],0))</f>
        <v>634.19000000000005</v>
      </c>
      <c r="Z4" s="18">
        <f>INDEX(wpi_data_prepped[[2022-Jan]:[2023-Oct]],MATCH(Z$2,wpi_data_prepped[category/commodity],0),MATCH($P4,wpi_data_prepped[[#Headers],[2022-Jan]:[2023-Oct]],0))</f>
        <v>581.5</v>
      </c>
      <c r="AA4" s="18">
        <f>INDEX(wpi_data_prepped[[2022-Jan]:[2023-Oct]],MATCH(AA$2,wpi_data_prepped[category/commodity],0),MATCH($P4,wpi_data_prepped[[#Headers],[2022-Jan]:[2023-Oct]],0))</f>
        <v>548.1</v>
      </c>
      <c r="AB4" s="18">
        <f>INDEX(wpi_data_prepped[[2022-Jan]:[2023-Oct]],MATCH(AB$2,wpi_data_prepped[category/commodity],0),MATCH($P4,wpi_data_prepped[[#Headers],[2022-Jan]:[2023-Oct]],0))</f>
        <v>571.67999999999995</v>
      </c>
      <c r="AC4" s="18">
        <v>8619.92</v>
      </c>
      <c r="AD4" s="18">
        <v>3537.29</v>
      </c>
      <c r="AE4" s="18">
        <v>1711.11</v>
      </c>
    </row>
    <row r="5" spans="1:31" x14ac:dyDescent="0.35">
      <c r="A5" s="13" t="s">
        <v>176</v>
      </c>
      <c r="B5" s="14">
        <v>1183.8699999999999</v>
      </c>
      <c r="D5" s="13" t="s">
        <v>886</v>
      </c>
      <c r="E5" s="14">
        <v>1923.91</v>
      </c>
      <c r="P5" s="18" t="s">
        <v>760</v>
      </c>
      <c r="Q5" s="19">
        <f>DATEVALUE(_xlfn.CONCAT("01-",RIGHT(P5,3),"-",LEFT(P5,4)))</f>
        <v>44621</v>
      </c>
      <c r="R5" s="18">
        <f>INDEX(wpi_data_prepped[[2022-Jan]:[2023-Oct]],MATCH(R$2,wpi_data_prepped[category/commodity],0),MATCH($P5,wpi_data_prepped[[#Headers],[2022-Jan]:[2023-Oct]],0))</f>
        <v>1432.67</v>
      </c>
      <c r="S5" s="18">
        <f>INDEX(wpi_data_prepped[[2022-Jan]:[2023-Oct]],MATCH(S$2,wpi_data_prepped[category/commodity],0),MATCH($P5,wpi_data_prepped[[#Headers],[2022-Jan]:[2023-Oct]],0))</f>
        <v>1434.65</v>
      </c>
      <c r="T5" s="18">
        <f>INDEX(wpi_data_prepped[[2022-Jan]:[2023-Oct]],MATCH(T$2,wpi_data_prepped[category/commodity],0),MATCH($P5,wpi_data_prepped[[#Headers],[2022-Jan]:[2023-Oct]],0))</f>
        <v>1113.0999999999999</v>
      </c>
      <c r="U5" s="18">
        <f>INDEX(wpi_data_prepped[[2022-Jan]:[2023-Oct]],MATCH(U$2,wpi_data_prepped[category/commodity],0),MATCH($P5,wpi_data_prepped[[#Headers],[2022-Jan]:[2023-Oct]],0))</f>
        <v>871.19</v>
      </c>
      <c r="V5" s="18">
        <f>INDEX(wpi_data_prepped[[2022-Jan]:[2023-Oct]],MATCH(V$2,wpi_data_prepped[category/commodity],0),MATCH($P5,wpi_data_prepped[[#Headers],[2022-Jan]:[2023-Oct]],0))</f>
        <v>682.69</v>
      </c>
      <c r="W5" s="18">
        <f>INDEX(wpi_data_prepped[[2022-Jan]:[2023-Oct]],MATCH(W$2,wpi_data_prepped[category/commodity],0),MATCH($P5,wpi_data_prepped[[#Headers],[2022-Jan]:[2023-Oct]],0))</f>
        <v>696.76</v>
      </c>
      <c r="X5" s="18">
        <f>INDEX(wpi_data_prepped[[2022-Jan]:[2023-Oct]],MATCH(X$2,wpi_data_prepped[category/commodity],0),MATCH($P5,wpi_data_prepped[[#Headers],[2022-Jan]:[2023-Oct]],0))</f>
        <v>669.9</v>
      </c>
      <c r="Y5" s="18">
        <f>INDEX(wpi_data_prepped[[2022-Jan]:[2023-Oct]],MATCH(Y$2,wpi_data_prepped[category/commodity],0),MATCH($P5,wpi_data_prepped[[#Headers],[2022-Jan]:[2023-Oct]],0))</f>
        <v>635.20000000000005</v>
      </c>
      <c r="Z5" s="18">
        <f>INDEX(wpi_data_prepped[[2022-Jan]:[2023-Oct]],MATCH(Z$2,wpi_data_prepped[category/commodity],0),MATCH($P5,wpi_data_prepped[[#Headers],[2022-Jan]:[2023-Oct]],0))</f>
        <v>541.85</v>
      </c>
      <c r="AA5" s="18">
        <f>INDEX(wpi_data_prepped[[2022-Jan]:[2023-Oct]],MATCH(AA$2,wpi_data_prepped[category/commodity],0),MATCH($P5,wpi_data_prepped[[#Headers],[2022-Jan]:[2023-Oct]],0))</f>
        <v>558.66999999999996</v>
      </c>
      <c r="AB5" s="18">
        <f>INDEX(wpi_data_prepped[[2022-Jan]:[2023-Oct]],MATCH(AB$2,wpi_data_prepped[category/commodity],0),MATCH($P5,wpi_data_prepped[[#Headers],[2022-Jan]:[2023-Oct]],0))</f>
        <v>574.96</v>
      </c>
      <c r="AC5" s="18">
        <v>8830.92</v>
      </c>
      <c r="AD5" s="18">
        <v>3609.1</v>
      </c>
      <c r="AE5" s="18">
        <v>1780.39</v>
      </c>
    </row>
    <row r="6" spans="1:31" x14ac:dyDescent="0.35">
      <c r="A6" s="13" t="s">
        <v>869</v>
      </c>
      <c r="B6" s="14">
        <v>836.29</v>
      </c>
      <c r="P6" s="18" t="s">
        <v>761</v>
      </c>
      <c r="Q6" s="19">
        <f>DATEVALUE(_xlfn.CONCAT("01-",RIGHT(P6,3),"-",LEFT(P6,4)))</f>
        <v>44652</v>
      </c>
      <c r="R6" s="18">
        <f>INDEX(wpi_data_prepped[[2022-Jan]:[2023-Oct]],MATCH(R$2,wpi_data_prepped[category/commodity],0),MATCH($P6,wpi_data_prepped[[#Headers],[2022-Jan]:[2023-Oct]],0))</f>
        <v>1468.99</v>
      </c>
      <c r="S6" s="18">
        <f>INDEX(wpi_data_prepped[[2022-Jan]:[2023-Oct]],MATCH(S$2,wpi_data_prepped[category/commodity],0),MATCH($P6,wpi_data_prepped[[#Headers],[2022-Jan]:[2023-Oct]],0))</f>
        <v>1468.35</v>
      </c>
      <c r="T6" s="18">
        <f>INDEX(wpi_data_prepped[[2022-Jan]:[2023-Oct]],MATCH(T$2,wpi_data_prepped[category/commodity],0),MATCH($P6,wpi_data_prepped[[#Headers],[2022-Jan]:[2023-Oct]],0))</f>
        <v>1200.32</v>
      </c>
      <c r="U6" s="18">
        <f>INDEX(wpi_data_prepped[[2022-Jan]:[2023-Oct]],MATCH(U$2,wpi_data_prepped[category/commodity],0),MATCH($P6,wpi_data_prepped[[#Headers],[2022-Jan]:[2023-Oct]],0))</f>
        <v>892.01</v>
      </c>
      <c r="V6" s="18">
        <f>INDEX(wpi_data_prepped[[2022-Jan]:[2023-Oct]],MATCH(V$2,wpi_data_prepped[category/commodity],0),MATCH($P6,wpi_data_prepped[[#Headers],[2022-Jan]:[2023-Oct]],0))</f>
        <v>689.87</v>
      </c>
      <c r="W6" s="18">
        <f>INDEX(wpi_data_prepped[[2022-Jan]:[2023-Oct]],MATCH(W$2,wpi_data_prepped[category/commodity],0),MATCH($P6,wpi_data_prepped[[#Headers],[2022-Jan]:[2023-Oct]],0))</f>
        <v>705.96</v>
      </c>
      <c r="X6" s="18">
        <f>INDEX(wpi_data_prepped[[2022-Jan]:[2023-Oct]],MATCH(X$2,wpi_data_prepped[category/commodity],0),MATCH($P6,wpi_data_prepped[[#Headers],[2022-Jan]:[2023-Oct]],0))</f>
        <v>679.47</v>
      </c>
      <c r="Y6" s="18">
        <f>INDEX(wpi_data_prepped[[2022-Jan]:[2023-Oct]],MATCH(Y$2,wpi_data_prepped[category/commodity],0),MATCH($P6,wpi_data_prepped[[#Headers],[2022-Jan]:[2023-Oct]],0))</f>
        <v>636.72</v>
      </c>
      <c r="Z6" s="18">
        <f>INDEX(wpi_data_prepped[[2022-Jan]:[2023-Oct]],MATCH(Z$2,wpi_data_prepped[category/commodity],0),MATCH($P6,wpi_data_prepped[[#Headers],[2022-Jan]:[2023-Oct]],0))</f>
        <v>599.36</v>
      </c>
      <c r="AA6" s="18">
        <f>INDEX(wpi_data_prepped[[2022-Jan]:[2023-Oct]],MATCH(AA$2,wpi_data_prepped[category/commodity],0),MATCH($P6,wpi_data_prepped[[#Headers],[2022-Jan]:[2023-Oct]],0))</f>
        <v>565.61</v>
      </c>
      <c r="AB6" s="18">
        <f>INDEX(wpi_data_prepped[[2022-Jan]:[2023-Oct]],MATCH(AB$2,wpi_data_prepped[category/commodity],0),MATCH($P6,wpi_data_prepped[[#Headers],[2022-Jan]:[2023-Oct]],0))</f>
        <v>582.46</v>
      </c>
      <c r="AC6" s="18">
        <v>8979.86</v>
      </c>
      <c r="AD6" s="18">
        <v>3685.12</v>
      </c>
      <c r="AE6" s="18">
        <v>1870.71</v>
      </c>
    </row>
    <row r="7" spans="1:31" x14ac:dyDescent="0.35">
      <c r="A7" s="13" t="s">
        <v>297</v>
      </c>
      <c r="B7" s="14">
        <v>761.26</v>
      </c>
      <c r="P7" s="18" t="s">
        <v>762</v>
      </c>
      <c r="Q7" s="19">
        <f>DATEVALUE(_xlfn.CONCAT("01-",RIGHT(P7,3),"-",LEFT(P7,4)))</f>
        <v>44682</v>
      </c>
      <c r="R7" s="18">
        <f>INDEX(wpi_data_prepped[[2022-Jan]:[2023-Oct]],MATCH(R$2,wpi_data_prepped[category/commodity],0),MATCH($P7,wpi_data_prepped[[#Headers],[2022-Jan]:[2023-Oct]],0))</f>
        <v>1476.77</v>
      </c>
      <c r="S7" s="18">
        <f>INDEX(wpi_data_prepped[[2022-Jan]:[2023-Oct]],MATCH(S$2,wpi_data_prepped[category/commodity],0),MATCH($P7,wpi_data_prepped[[#Headers],[2022-Jan]:[2023-Oct]],0))</f>
        <v>1441.03</v>
      </c>
      <c r="T7" s="18">
        <f>INDEX(wpi_data_prepped[[2022-Jan]:[2023-Oct]],MATCH(T$2,wpi_data_prepped[category/commodity],0),MATCH($P7,wpi_data_prepped[[#Headers],[2022-Jan]:[2023-Oct]],0))</f>
        <v>1334.72</v>
      </c>
      <c r="U7" s="18">
        <f>INDEX(wpi_data_prepped[[2022-Jan]:[2023-Oct]],MATCH(U$2,wpi_data_prepped[category/commodity],0),MATCH($P7,wpi_data_prepped[[#Headers],[2022-Jan]:[2023-Oct]],0))</f>
        <v>899.96</v>
      </c>
      <c r="V7" s="18">
        <f>INDEX(wpi_data_prepped[[2022-Jan]:[2023-Oct]],MATCH(V$2,wpi_data_prepped[category/commodity],0),MATCH($P7,wpi_data_prepped[[#Headers],[2022-Jan]:[2023-Oct]],0))</f>
        <v>692.4</v>
      </c>
      <c r="W7" s="18">
        <f>INDEX(wpi_data_prepped[[2022-Jan]:[2023-Oct]],MATCH(W$2,wpi_data_prepped[category/commodity],0),MATCH($P7,wpi_data_prepped[[#Headers],[2022-Jan]:[2023-Oct]],0))</f>
        <v>719.03</v>
      </c>
      <c r="X7" s="18">
        <f>INDEX(wpi_data_prepped[[2022-Jan]:[2023-Oct]],MATCH(X$2,wpi_data_prepped[category/commodity],0),MATCH($P7,wpi_data_prepped[[#Headers],[2022-Jan]:[2023-Oct]],0))</f>
        <v>688.66</v>
      </c>
      <c r="Y7" s="18">
        <f>INDEX(wpi_data_prepped[[2022-Jan]:[2023-Oct]],MATCH(Y$2,wpi_data_prepped[category/commodity],0),MATCH($P7,wpi_data_prepped[[#Headers],[2022-Jan]:[2023-Oct]],0))</f>
        <v>643.79</v>
      </c>
      <c r="Z7" s="18">
        <f>INDEX(wpi_data_prepped[[2022-Jan]:[2023-Oct]],MATCH(Z$2,wpi_data_prepped[category/commodity],0),MATCH($P7,wpi_data_prepped[[#Headers],[2022-Jan]:[2023-Oct]],0))</f>
        <v>630.84</v>
      </c>
      <c r="AA7" s="18">
        <f>INDEX(wpi_data_prepped[[2022-Jan]:[2023-Oct]],MATCH(AA$2,wpi_data_prepped[category/commodity],0),MATCH($P7,wpi_data_prepped[[#Headers],[2022-Jan]:[2023-Oct]],0))</f>
        <v>567.26</v>
      </c>
      <c r="AB7" s="18">
        <f>INDEX(wpi_data_prepped[[2022-Jan]:[2023-Oct]],MATCH(AB$2,wpi_data_prepped[category/commodity],0),MATCH($P7,wpi_data_prepped[[#Headers],[2022-Jan]:[2023-Oct]],0))</f>
        <v>585.27</v>
      </c>
      <c r="AC7" s="18">
        <v>8998.48</v>
      </c>
      <c r="AD7" s="18">
        <v>3769.59</v>
      </c>
      <c r="AE7" s="18">
        <v>2024.13</v>
      </c>
    </row>
    <row r="8" spans="1:31" x14ac:dyDescent="0.35">
      <c r="A8" s="13" t="s">
        <v>795</v>
      </c>
      <c r="B8" s="14">
        <v>652.21</v>
      </c>
      <c r="P8" s="18" t="s">
        <v>763</v>
      </c>
      <c r="Q8" s="19">
        <f>DATEVALUE(_xlfn.CONCAT("01-",RIGHT(P8,3),"-",LEFT(P8,4)))</f>
        <v>44713</v>
      </c>
      <c r="R8" s="18">
        <f>INDEX(wpi_data_prepped[[2022-Jan]:[2023-Oct]],MATCH(R$2,wpi_data_prepped[category/commodity],0),MATCH($P8,wpi_data_prepped[[#Headers],[2022-Jan]:[2023-Oct]],0))</f>
        <v>1461.21</v>
      </c>
      <c r="S8" s="18">
        <f>INDEX(wpi_data_prepped[[2022-Jan]:[2023-Oct]],MATCH(S$2,wpi_data_prepped[category/commodity],0),MATCH($P8,wpi_data_prepped[[#Headers],[2022-Jan]:[2023-Oct]],0))</f>
        <v>1366.33</v>
      </c>
      <c r="T8" s="18">
        <f>INDEX(wpi_data_prepped[[2022-Jan]:[2023-Oct]],MATCH(T$2,wpi_data_prepped[category/commodity],0),MATCH($P8,wpi_data_prepped[[#Headers],[2022-Jan]:[2023-Oct]],0))</f>
        <v>1356.88</v>
      </c>
      <c r="U8" s="18">
        <f>INDEX(wpi_data_prepped[[2022-Jan]:[2023-Oct]],MATCH(U$2,wpi_data_prepped[category/commodity],0),MATCH($P8,wpi_data_prepped[[#Headers],[2022-Jan]:[2023-Oct]],0))</f>
        <v>907.92</v>
      </c>
      <c r="V8" s="18">
        <f>INDEX(wpi_data_prepped[[2022-Jan]:[2023-Oct]],MATCH(V$2,wpi_data_prepped[category/commodity],0),MATCH($P8,wpi_data_prepped[[#Headers],[2022-Jan]:[2023-Oct]],0))</f>
        <v>693.67</v>
      </c>
      <c r="W8" s="18">
        <f>INDEX(wpi_data_prepped[[2022-Jan]:[2023-Oct]],MATCH(W$2,wpi_data_prepped[category/commodity],0),MATCH($P8,wpi_data_prepped[[#Headers],[2022-Jan]:[2023-Oct]],0))</f>
        <v>722.9</v>
      </c>
      <c r="X8" s="18">
        <f>INDEX(wpi_data_prepped[[2022-Jan]:[2023-Oct]],MATCH(X$2,wpi_data_prepped[category/commodity],0),MATCH($P8,wpi_data_prepped[[#Headers],[2022-Jan]:[2023-Oct]],0))</f>
        <v>673.35</v>
      </c>
      <c r="Y8" s="18">
        <f>INDEX(wpi_data_prepped[[2022-Jan]:[2023-Oct]],MATCH(Y$2,wpi_data_prepped[category/commodity],0),MATCH($P8,wpi_data_prepped[[#Headers],[2022-Jan]:[2023-Oct]],0))</f>
        <v>645.29999999999995</v>
      </c>
      <c r="Z8" s="18">
        <f>INDEX(wpi_data_prepped[[2022-Jan]:[2023-Oct]],MATCH(Z$2,wpi_data_prepped[category/commodity],0),MATCH($P8,wpi_data_prepped[[#Headers],[2022-Jan]:[2023-Oct]],0))</f>
        <v>683.82</v>
      </c>
      <c r="AA8" s="18">
        <f>INDEX(wpi_data_prepped[[2022-Jan]:[2023-Oct]],MATCH(AA$2,wpi_data_prepped[category/commodity],0),MATCH($P8,wpi_data_prepped[[#Headers],[2022-Jan]:[2023-Oct]],0))</f>
        <v>563.96</v>
      </c>
      <c r="AB8" s="18">
        <f>INDEX(wpi_data_prepped[[2022-Jan]:[2023-Oct]],MATCH(AB$2,wpi_data_prepped[category/commodity],0),MATCH($P8,wpi_data_prepped[[#Headers],[2022-Jan]:[2023-Oct]],0))</f>
        <v>586.21</v>
      </c>
      <c r="AC8" s="18">
        <v>8930.2199999999993</v>
      </c>
      <c r="AD8" s="18">
        <v>3832.95</v>
      </c>
      <c r="AE8" s="18">
        <v>2067.4299999999998</v>
      </c>
    </row>
    <row r="9" spans="1:31" x14ac:dyDescent="0.35">
      <c r="A9" s="13" t="s">
        <v>289</v>
      </c>
      <c r="B9" s="14">
        <v>652.16999999999996</v>
      </c>
      <c r="P9" s="18" t="s">
        <v>764</v>
      </c>
      <c r="Q9" s="19">
        <f>DATEVALUE(_xlfn.CONCAT("01-",RIGHT(P9,3),"-",LEFT(P9,4)))</f>
        <v>44743</v>
      </c>
      <c r="R9" s="18">
        <f>INDEX(wpi_data_prepped[[2022-Jan]:[2023-Oct]],MATCH(R$2,wpi_data_prepped[category/commodity],0),MATCH($P9,wpi_data_prepped[[#Headers],[2022-Jan]:[2023-Oct]],0))</f>
        <v>1437.86</v>
      </c>
      <c r="S9" s="18">
        <f>INDEX(wpi_data_prepped[[2022-Jan]:[2023-Oct]],MATCH(S$2,wpi_data_prepped[category/commodity],0),MATCH($P9,wpi_data_prepped[[#Headers],[2022-Jan]:[2023-Oct]],0))</f>
        <v>1360.87</v>
      </c>
      <c r="T9" s="18">
        <f>INDEX(wpi_data_prepped[[2022-Jan]:[2023-Oct]],MATCH(T$2,wpi_data_prepped[category/commodity],0),MATCH($P9,wpi_data_prepped[[#Headers],[2022-Jan]:[2023-Oct]],0))</f>
        <v>1350.44</v>
      </c>
      <c r="U9" s="18">
        <f>INDEX(wpi_data_prepped[[2022-Jan]:[2023-Oct]],MATCH(U$2,wpi_data_prepped[category/commodity],0),MATCH($P9,wpi_data_prepped[[#Headers],[2022-Jan]:[2023-Oct]],0))</f>
        <v>904.86</v>
      </c>
      <c r="V9" s="18">
        <f>INDEX(wpi_data_prepped[[2022-Jan]:[2023-Oct]],MATCH(V$2,wpi_data_prepped[category/commodity],0),MATCH($P9,wpi_data_prepped[[#Headers],[2022-Jan]:[2023-Oct]],0))</f>
        <v>694.51</v>
      </c>
      <c r="W9" s="18">
        <f>INDEX(wpi_data_prepped[[2022-Jan]:[2023-Oct]],MATCH(W$2,wpi_data_prepped[category/commodity],0),MATCH($P9,wpi_data_prepped[[#Headers],[2022-Jan]:[2023-Oct]],0))</f>
        <v>713.22</v>
      </c>
      <c r="X9" s="18">
        <f>INDEX(wpi_data_prepped[[2022-Jan]:[2023-Oct]],MATCH(X$2,wpi_data_prepped[category/commodity],0),MATCH($P9,wpi_data_prepped[[#Headers],[2022-Jan]:[2023-Oct]],0))</f>
        <v>657.65</v>
      </c>
      <c r="Y9" s="18">
        <f>INDEX(wpi_data_prepped[[2022-Jan]:[2023-Oct]],MATCH(Y$2,wpi_data_prepped[category/commodity],0),MATCH($P9,wpi_data_prepped[[#Headers],[2022-Jan]:[2023-Oct]],0))</f>
        <v>646.82000000000005</v>
      </c>
      <c r="Z9" s="18">
        <f>INDEX(wpi_data_prepped[[2022-Jan]:[2023-Oct]],MATCH(Z$2,wpi_data_prepped[category/commodity],0),MATCH($P9,wpi_data_prepped[[#Headers],[2022-Jan]:[2023-Oct]],0))</f>
        <v>632.66</v>
      </c>
      <c r="AA9" s="18">
        <f>INDEX(wpi_data_prepped[[2022-Jan]:[2023-Oct]],MATCH(AA$2,wpi_data_prepped[category/commodity],0),MATCH($P9,wpi_data_prepped[[#Headers],[2022-Jan]:[2023-Oct]],0))</f>
        <v>570.24</v>
      </c>
      <c r="AB9" s="18">
        <f>INDEX(wpi_data_prepped[[2022-Jan]:[2023-Oct]],MATCH(AB$2,wpi_data_prepped[category/commodity],0),MATCH($P9,wpi_data_prepped[[#Headers],[2022-Jan]:[2023-Oct]],0))</f>
        <v>589.49</v>
      </c>
      <c r="AC9" s="18">
        <v>8886.7800000000007</v>
      </c>
      <c r="AD9" s="18">
        <v>3740.03</v>
      </c>
      <c r="AE9" s="18">
        <v>2061.25</v>
      </c>
    </row>
    <row r="10" spans="1:31" x14ac:dyDescent="0.35">
      <c r="A10" s="13" t="s">
        <v>882</v>
      </c>
      <c r="B10" s="14">
        <v>644.79999999999995</v>
      </c>
      <c r="P10" s="18" t="s">
        <v>765</v>
      </c>
      <c r="Q10" s="19">
        <f>DATEVALUE(_xlfn.CONCAT("01-",RIGHT(P10,3),"-",LEFT(P10,4)))</f>
        <v>44774</v>
      </c>
      <c r="R10" s="18">
        <f>INDEX(wpi_data_prepped[[2022-Jan]:[2023-Oct]],MATCH(R$2,wpi_data_prepped[category/commodity],0),MATCH($P10,wpi_data_prepped[[#Headers],[2022-Jan]:[2023-Oct]],0))</f>
        <v>1441.32</v>
      </c>
      <c r="S10" s="18">
        <f>INDEX(wpi_data_prepped[[2022-Jan]:[2023-Oct]],MATCH(S$2,wpi_data_prepped[category/commodity],0),MATCH($P10,wpi_data_prepped[[#Headers],[2022-Jan]:[2023-Oct]],0))</f>
        <v>1356.31</v>
      </c>
      <c r="T10" s="18">
        <f>INDEX(wpi_data_prepped[[2022-Jan]:[2023-Oct]],MATCH(T$2,wpi_data_prepped[category/commodity],0),MATCH($P10,wpi_data_prepped[[#Headers],[2022-Jan]:[2023-Oct]],0))</f>
        <v>1248.21</v>
      </c>
      <c r="U10" s="18">
        <f>INDEX(wpi_data_prepped[[2022-Jan]:[2023-Oct]],MATCH(U$2,wpi_data_prepped[category/commodity],0),MATCH($P10,wpi_data_prepped[[#Headers],[2022-Jan]:[2023-Oct]],0))</f>
        <v>897.52</v>
      </c>
      <c r="V10" s="18">
        <f>INDEX(wpi_data_prepped[[2022-Jan]:[2023-Oct]],MATCH(V$2,wpi_data_prepped[category/commodity],0),MATCH($P10,wpi_data_prepped[[#Headers],[2022-Jan]:[2023-Oct]],0))</f>
        <v>699.16</v>
      </c>
      <c r="W10" s="18">
        <f>INDEX(wpi_data_prepped[[2022-Jan]:[2023-Oct]],MATCH(W$2,wpi_data_prepped[category/commodity],0),MATCH($P10,wpi_data_prepped[[#Headers],[2022-Jan]:[2023-Oct]],0))</f>
        <v>709.34</v>
      </c>
      <c r="X10" s="18">
        <f>INDEX(wpi_data_prepped[[2022-Jan]:[2023-Oct]],MATCH(X$2,wpi_data_prepped[category/commodity],0),MATCH($P10,wpi_data_prepped[[#Headers],[2022-Jan]:[2023-Oct]],0))</f>
        <v>670.28</v>
      </c>
      <c r="Y10" s="18">
        <f>INDEX(wpi_data_prepped[[2022-Jan]:[2023-Oct]],MATCH(Y$2,wpi_data_prepped[category/commodity],0),MATCH($P10,wpi_data_prepped[[#Headers],[2022-Jan]:[2023-Oct]],0))</f>
        <v>641.26</v>
      </c>
      <c r="Z10" s="18">
        <f>INDEX(wpi_data_prepped[[2022-Jan]:[2023-Oct]],MATCH(Z$2,wpi_data_prepped[category/commodity],0),MATCH($P10,wpi_data_prepped[[#Headers],[2022-Jan]:[2023-Oct]],0))</f>
        <v>655.05999999999995</v>
      </c>
      <c r="AA10" s="18">
        <f>INDEX(wpi_data_prepped[[2022-Jan]:[2023-Oct]],MATCH(AA$2,wpi_data_prepped[category/commodity],0),MATCH($P10,wpi_data_prepped[[#Headers],[2022-Jan]:[2023-Oct]],0))</f>
        <v>584.77</v>
      </c>
      <c r="AB10" s="18">
        <f>INDEX(wpi_data_prepped[[2022-Jan]:[2023-Oct]],MATCH(AB$2,wpi_data_prepped[category/commodity],0),MATCH($P10,wpi_data_prepped[[#Headers],[2022-Jan]:[2023-Oct]],0))</f>
        <v>590.89</v>
      </c>
      <c r="AC10" s="18">
        <v>8886.7800000000007</v>
      </c>
      <c r="AD10" s="18">
        <v>3765.37</v>
      </c>
      <c r="AE10" s="18">
        <v>1969.69</v>
      </c>
    </row>
    <row r="11" spans="1:31" x14ac:dyDescent="0.35">
      <c r="A11" s="13" t="s">
        <v>602</v>
      </c>
      <c r="B11" s="14">
        <v>628.17999999999995</v>
      </c>
      <c r="P11" s="18" t="s">
        <v>766</v>
      </c>
      <c r="Q11" s="19">
        <f>DATEVALUE(_xlfn.CONCAT("01-",RIGHT(P11,3),"-",LEFT(P11,4)))</f>
        <v>44805</v>
      </c>
      <c r="R11" s="18">
        <f>INDEX(wpi_data_prepped[[2022-Jan]:[2023-Oct]],MATCH(R$2,wpi_data_prepped[category/commodity],0),MATCH($P11,wpi_data_prepped[[#Headers],[2022-Jan]:[2023-Oct]],0))</f>
        <v>1411.92</v>
      </c>
      <c r="S11" s="18">
        <f>INDEX(wpi_data_prepped[[2022-Jan]:[2023-Oct]],MATCH(S$2,wpi_data_prepped[category/commodity],0),MATCH($P11,wpi_data_prepped[[#Headers],[2022-Jan]:[2023-Oct]],0))</f>
        <v>1335.36</v>
      </c>
      <c r="T11" s="18">
        <f>INDEX(wpi_data_prepped[[2022-Jan]:[2023-Oct]],MATCH(T$2,wpi_data_prepped[category/commodity],0),MATCH($P11,wpi_data_prepped[[#Headers],[2022-Jan]:[2023-Oct]],0))</f>
        <v>1227.48</v>
      </c>
      <c r="U11" s="18">
        <f>INDEX(wpi_data_prepped[[2022-Jan]:[2023-Oct]],MATCH(U$2,wpi_data_prepped[category/commodity],0),MATCH($P11,wpi_data_prepped[[#Headers],[2022-Jan]:[2023-Oct]],0))</f>
        <v>893.84</v>
      </c>
      <c r="V11" s="18">
        <f>INDEX(wpi_data_prepped[[2022-Jan]:[2023-Oct]],MATCH(V$2,wpi_data_prepped[category/commodity],0),MATCH($P11,wpi_data_prepped[[#Headers],[2022-Jan]:[2023-Oct]],0))</f>
        <v>699.16</v>
      </c>
      <c r="W11" s="18">
        <f>INDEX(wpi_data_prepped[[2022-Jan]:[2023-Oct]],MATCH(W$2,wpi_data_prepped[category/commodity],0),MATCH($P11,wpi_data_prepped[[#Headers],[2022-Jan]:[2023-Oct]],0))</f>
        <v>699.66</v>
      </c>
      <c r="X11" s="18">
        <f>INDEX(wpi_data_prepped[[2022-Jan]:[2023-Oct]],MATCH(X$2,wpi_data_prepped[category/commodity],0),MATCH($P11,wpi_data_prepped[[#Headers],[2022-Jan]:[2023-Oct]],0))</f>
        <v>643.87</v>
      </c>
      <c r="Y11" s="18">
        <f>INDEX(wpi_data_prepped[[2022-Jan]:[2023-Oct]],MATCH(Y$2,wpi_data_prepped[category/commodity],0),MATCH($P11,wpi_data_prepped[[#Headers],[2022-Jan]:[2023-Oct]],0))</f>
        <v>647.83000000000004</v>
      </c>
      <c r="Z11" s="18">
        <f>INDEX(wpi_data_prepped[[2022-Jan]:[2023-Oct]],MATCH(Z$2,wpi_data_prepped[category/commodity],0),MATCH($P11,wpi_data_prepped[[#Headers],[2022-Jan]:[2023-Oct]],0))</f>
        <v>652.64</v>
      </c>
      <c r="AA11" s="18">
        <f>INDEX(wpi_data_prepped[[2022-Jan]:[2023-Oct]],MATCH(AA$2,wpi_data_prepped[category/commodity],0),MATCH($P11,wpi_data_prepped[[#Headers],[2022-Jan]:[2023-Oct]],0))</f>
        <v>589.4</v>
      </c>
      <c r="AB11" s="18">
        <f>INDEX(wpi_data_prepped[[2022-Jan]:[2023-Oct]],MATCH(AB$2,wpi_data_prepped[category/commodity],0),MATCH($P11,wpi_data_prepped[[#Headers],[2022-Jan]:[2023-Oct]],0))</f>
        <v>592.29999999999995</v>
      </c>
      <c r="AC11" s="18">
        <v>8824.7199999999993</v>
      </c>
      <c r="AD11" s="18">
        <v>3714.69</v>
      </c>
      <c r="AE11" s="18">
        <v>1959.79</v>
      </c>
    </row>
    <row r="12" spans="1:31" x14ac:dyDescent="0.35">
      <c r="A12" s="13" t="s">
        <v>442</v>
      </c>
      <c r="B12" s="14">
        <v>620.25</v>
      </c>
      <c r="P12" s="18" t="s">
        <v>767</v>
      </c>
      <c r="Q12" s="19">
        <f>DATEVALUE(_xlfn.CONCAT("01-",RIGHT(P12,3),"-",LEFT(P12,4)))</f>
        <v>44835</v>
      </c>
      <c r="R12" s="18">
        <f>INDEX(wpi_data_prepped[[2022-Jan]:[2023-Oct]],MATCH(R$2,wpi_data_prepped[category/commodity],0),MATCH($P12,wpi_data_prepped[[#Headers],[2022-Jan]:[2023-Oct]],0))</f>
        <v>1415.38</v>
      </c>
      <c r="S12" s="18">
        <f>INDEX(wpi_data_prepped[[2022-Jan]:[2023-Oct]],MATCH(S$2,wpi_data_prepped[category/commodity],0),MATCH($P12,wpi_data_prepped[[#Headers],[2022-Jan]:[2023-Oct]],0))</f>
        <v>1326.26</v>
      </c>
      <c r="T12" s="18">
        <f>INDEX(wpi_data_prepped[[2022-Jan]:[2023-Oct]],MATCH(T$2,wpi_data_prepped[category/commodity],0),MATCH($P12,wpi_data_prepped[[#Headers],[2022-Jan]:[2023-Oct]],0))</f>
        <v>1189.5899999999999</v>
      </c>
      <c r="U12" s="18">
        <f>INDEX(wpi_data_prepped[[2022-Jan]:[2023-Oct]],MATCH(U$2,wpi_data_prepped[category/commodity],0),MATCH($P12,wpi_data_prepped[[#Headers],[2022-Jan]:[2023-Oct]],0))</f>
        <v>895.68</v>
      </c>
      <c r="V12" s="18">
        <f>INDEX(wpi_data_prepped[[2022-Jan]:[2023-Oct]],MATCH(V$2,wpi_data_prepped[category/commodity],0),MATCH($P12,wpi_data_prepped[[#Headers],[2022-Jan]:[2023-Oct]],0))</f>
        <v>704.23</v>
      </c>
      <c r="W12" s="18">
        <f>INDEX(wpi_data_prepped[[2022-Jan]:[2023-Oct]],MATCH(W$2,wpi_data_prepped[category/commodity],0),MATCH($P12,wpi_data_prepped[[#Headers],[2022-Jan]:[2023-Oct]],0))</f>
        <v>689.98</v>
      </c>
      <c r="X12" s="18">
        <f>INDEX(wpi_data_prepped[[2022-Jan]:[2023-Oct]],MATCH(X$2,wpi_data_prepped[category/commodity],0),MATCH($P12,wpi_data_prepped[[#Headers],[2022-Jan]:[2023-Oct]],0))</f>
        <v>635.45000000000005</v>
      </c>
      <c r="Y12" s="18">
        <f>INDEX(wpi_data_prepped[[2022-Jan]:[2023-Oct]],MATCH(Y$2,wpi_data_prepped[category/commodity],0),MATCH($P12,wpi_data_prepped[[#Headers],[2022-Jan]:[2023-Oct]],0))</f>
        <v>646.82000000000005</v>
      </c>
      <c r="Z12" s="18">
        <f>INDEX(wpi_data_prepped[[2022-Jan]:[2023-Oct]],MATCH(Z$2,wpi_data_prepped[category/commodity],0),MATCH($P12,wpi_data_prepped[[#Headers],[2022-Jan]:[2023-Oct]],0))</f>
        <v>698.65</v>
      </c>
      <c r="AA12" s="18">
        <f>INDEX(wpi_data_prepped[[2022-Jan]:[2023-Oct]],MATCH(AA$2,wpi_data_prepped[category/commodity],0),MATCH($P12,wpi_data_prepped[[#Headers],[2022-Jan]:[2023-Oct]],0))</f>
        <v>593.36</v>
      </c>
      <c r="AB12" s="18">
        <f>INDEX(wpi_data_prepped[[2022-Jan]:[2023-Oct]],MATCH(AB$2,wpi_data_prepped[category/commodity],0),MATCH($P12,wpi_data_prepped[[#Headers],[2022-Jan]:[2023-Oct]],0))</f>
        <v>592.77</v>
      </c>
      <c r="AC12" s="18">
        <v>8806.1</v>
      </c>
      <c r="AD12" s="18">
        <v>3826.61</v>
      </c>
      <c r="AE12" s="18">
        <v>1954.84</v>
      </c>
    </row>
    <row r="13" spans="1:31" x14ac:dyDescent="0.35">
      <c r="A13" s="13" t="s">
        <v>879</v>
      </c>
      <c r="B13" s="14">
        <v>604.01</v>
      </c>
      <c r="P13" s="18" t="s">
        <v>768</v>
      </c>
      <c r="Q13" s="19">
        <f>DATEVALUE(_xlfn.CONCAT("01-",RIGHT(P13,3),"-",LEFT(P13,4)))</f>
        <v>44866</v>
      </c>
      <c r="R13" s="18">
        <f>INDEX(wpi_data_prepped[[2022-Jan]:[2023-Oct]],MATCH(R$2,wpi_data_prepped[category/commodity],0),MATCH($P13,wpi_data_prepped[[#Headers],[2022-Jan]:[2023-Oct]],0))</f>
        <v>1423.16</v>
      </c>
      <c r="S13" s="18">
        <f>INDEX(wpi_data_prepped[[2022-Jan]:[2023-Oct]],MATCH(S$2,wpi_data_prepped[category/commodity],0),MATCH($P13,wpi_data_prepped[[#Headers],[2022-Jan]:[2023-Oct]],0))</f>
        <v>1304.3900000000001</v>
      </c>
      <c r="T13" s="18">
        <f>INDEX(wpi_data_prepped[[2022-Jan]:[2023-Oct]],MATCH(T$2,wpi_data_prepped[category/commodity],0),MATCH($P13,wpi_data_prepped[[#Headers],[2022-Jan]:[2023-Oct]],0))</f>
        <v>1232.49</v>
      </c>
      <c r="U13" s="18">
        <f>INDEX(wpi_data_prepped[[2022-Jan]:[2023-Oct]],MATCH(U$2,wpi_data_prepped[category/commodity],0),MATCH($P13,wpi_data_prepped[[#Headers],[2022-Jan]:[2023-Oct]],0))</f>
        <v>888.94</v>
      </c>
      <c r="V13" s="18">
        <f>INDEX(wpi_data_prepped[[2022-Jan]:[2023-Oct]],MATCH(V$2,wpi_data_prepped[category/commodity],0),MATCH($P13,wpi_data_prepped[[#Headers],[2022-Jan]:[2023-Oct]],0))</f>
        <v>706.77</v>
      </c>
      <c r="W13" s="18">
        <f>INDEX(wpi_data_prepped[[2022-Jan]:[2023-Oct]],MATCH(W$2,wpi_data_prepped[category/commodity],0),MATCH($P13,wpi_data_prepped[[#Headers],[2022-Jan]:[2023-Oct]],0))</f>
        <v>674</v>
      </c>
      <c r="X13" s="18">
        <f>INDEX(wpi_data_prepped[[2022-Jan]:[2023-Oct]],MATCH(X$2,wpi_data_prepped[category/commodity],0),MATCH($P13,wpi_data_prepped[[#Headers],[2022-Jan]:[2023-Oct]],0))</f>
        <v>646.16999999999996</v>
      </c>
      <c r="Y13" s="18">
        <f>INDEX(wpi_data_prepped[[2022-Jan]:[2023-Oct]],MATCH(Y$2,wpi_data_prepped[category/commodity],0),MATCH($P13,wpi_data_prepped[[#Headers],[2022-Jan]:[2023-Oct]],0))</f>
        <v>644.79999999999995</v>
      </c>
      <c r="Z13" s="18">
        <f>INDEX(wpi_data_prepped[[2022-Jan]:[2023-Oct]],MATCH(Z$2,wpi_data_prepped[category/commodity],0),MATCH($P13,wpi_data_prepped[[#Headers],[2022-Jan]:[2023-Oct]],0))</f>
        <v>621.76</v>
      </c>
      <c r="AA13" s="18">
        <f>INDEX(wpi_data_prepped[[2022-Jan]:[2023-Oct]],MATCH(AA$2,wpi_data_prepped[category/commodity],0),MATCH($P13,wpi_data_prepped[[#Headers],[2022-Jan]:[2023-Oct]],0))</f>
        <v>600.96</v>
      </c>
      <c r="AB13" s="18">
        <f>INDEX(wpi_data_prepped[[2022-Jan]:[2023-Oct]],MATCH(AB$2,wpi_data_prepped[category/commodity],0),MATCH($P13,wpi_data_prepped[[#Headers],[2022-Jan]:[2023-Oct]],0))</f>
        <v>593.70000000000005</v>
      </c>
      <c r="AC13" s="18">
        <v>8768.8700000000008</v>
      </c>
      <c r="AD13" s="18">
        <v>3767.48</v>
      </c>
      <c r="AE13" s="18">
        <v>2014.23</v>
      </c>
    </row>
    <row r="14" spans="1:31" x14ac:dyDescent="0.35">
      <c r="A14" s="13" t="s">
        <v>585</v>
      </c>
      <c r="B14" s="14">
        <v>522.37</v>
      </c>
      <c r="P14" s="18" t="s">
        <v>769</v>
      </c>
      <c r="Q14" s="19">
        <f>DATEVALUE(_xlfn.CONCAT("01-",RIGHT(P14,3),"-",LEFT(P14,4)))</f>
        <v>44896</v>
      </c>
      <c r="R14" s="18">
        <f>INDEX(wpi_data_prepped[[2022-Jan]:[2023-Oct]],MATCH(R$2,wpi_data_prepped[category/commodity],0),MATCH($P14,wpi_data_prepped[[#Headers],[2022-Jan]:[2023-Oct]],0))</f>
        <v>1414.52</v>
      </c>
      <c r="S14" s="18">
        <f>INDEX(wpi_data_prepped[[2022-Jan]:[2023-Oct]],MATCH(S$2,wpi_data_prepped[category/commodity],0),MATCH($P14,wpi_data_prepped[[#Headers],[2022-Jan]:[2023-Oct]],0))</f>
        <v>1304.3900000000001</v>
      </c>
      <c r="T14" s="18">
        <f>INDEX(wpi_data_prepped[[2022-Jan]:[2023-Oct]],MATCH(T$2,wpi_data_prepped[category/commodity],0),MATCH($P14,wpi_data_prepped[[#Headers],[2022-Jan]:[2023-Oct]],0))</f>
        <v>1175.29</v>
      </c>
      <c r="U14" s="18">
        <f>INDEX(wpi_data_prepped[[2022-Jan]:[2023-Oct]],MATCH(U$2,wpi_data_prepped[category/commodity],0),MATCH($P14,wpi_data_prepped[[#Headers],[2022-Jan]:[2023-Oct]],0))</f>
        <v>881.6</v>
      </c>
      <c r="V14" s="18">
        <f>INDEX(wpi_data_prepped[[2022-Jan]:[2023-Oct]],MATCH(V$2,wpi_data_prepped[category/commodity],0),MATCH($P14,wpi_data_prepped[[#Headers],[2022-Jan]:[2023-Oct]],0))</f>
        <v>717.75</v>
      </c>
      <c r="W14" s="18">
        <f>INDEX(wpi_data_prepped[[2022-Jan]:[2023-Oct]],MATCH(W$2,wpi_data_prepped[category/commodity],0),MATCH($P14,wpi_data_prepped[[#Headers],[2022-Jan]:[2023-Oct]],0))</f>
        <v>666.25</v>
      </c>
      <c r="X14" s="18">
        <f>INDEX(wpi_data_prepped[[2022-Jan]:[2023-Oct]],MATCH(X$2,wpi_data_prepped[category/commodity],0),MATCH($P14,wpi_data_prepped[[#Headers],[2022-Jan]:[2023-Oct]],0))</f>
        <v>655.36</v>
      </c>
      <c r="Y14" s="18">
        <f>INDEX(wpi_data_prepped[[2022-Jan]:[2023-Oct]],MATCH(Y$2,wpi_data_prepped[category/commodity],0),MATCH($P14,wpi_data_prepped[[#Headers],[2022-Jan]:[2023-Oct]],0))</f>
        <v>646.30999999999995</v>
      </c>
      <c r="Z14" s="18">
        <f>INDEX(wpi_data_prepped[[2022-Jan]:[2023-Oct]],MATCH(Z$2,wpi_data_prepped[category/commodity],0),MATCH($P14,wpi_data_prepped[[#Headers],[2022-Jan]:[2023-Oct]],0))</f>
        <v>523.99</v>
      </c>
      <c r="AA14" s="18">
        <f>INDEX(wpi_data_prepped[[2022-Jan]:[2023-Oct]],MATCH(AA$2,wpi_data_prepped[category/commodity],0),MATCH($P14,wpi_data_prepped[[#Headers],[2022-Jan]:[2023-Oct]],0))</f>
        <v>609.22</v>
      </c>
      <c r="AB14" s="18">
        <f>INDEX(wpi_data_prepped[[2022-Jan]:[2023-Oct]],MATCH(AB$2,wpi_data_prepped[category/commodity],0),MATCH($P14,wpi_data_prepped[[#Headers],[2022-Jan]:[2023-Oct]],0))</f>
        <v>591.83000000000004</v>
      </c>
      <c r="AC14" s="18">
        <v>8756.4500000000007</v>
      </c>
      <c r="AD14" s="18">
        <v>3651.33</v>
      </c>
      <c r="AE14" s="18">
        <v>1954.84</v>
      </c>
    </row>
    <row r="15" spans="1:31" x14ac:dyDescent="0.35">
      <c r="A15" s="13" t="s">
        <v>614</v>
      </c>
      <c r="B15" s="14">
        <v>484.38</v>
      </c>
      <c r="P15" s="18" t="s">
        <v>770</v>
      </c>
      <c r="Q15" s="19">
        <f>DATEVALUE(_xlfn.CONCAT("01-",RIGHT(P15,3),"-",LEFT(P15,4)))</f>
        <v>44927</v>
      </c>
      <c r="R15" s="18">
        <f>INDEX(wpi_data_prepped[[2022-Jan]:[2023-Oct]],MATCH(R$2,wpi_data_prepped[category/commodity],0),MATCH($P15,wpi_data_prepped[[#Headers],[2022-Jan]:[2023-Oct]],0))</f>
        <v>1410.19</v>
      </c>
      <c r="S15" s="18">
        <f>INDEX(wpi_data_prepped[[2022-Jan]:[2023-Oct]],MATCH(S$2,wpi_data_prepped[category/commodity],0),MATCH($P15,wpi_data_prepped[[#Headers],[2022-Jan]:[2023-Oct]],0))</f>
        <v>1325.34</v>
      </c>
      <c r="T15" s="18">
        <f>INDEX(wpi_data_prepped[[2022-Jan]:[2023-Oct]],MATCH(T$2,wpi_data_prepped[category/commodity],0),MATCH($P15,wpi_data_prepped[[#Headers],[2022-Jan]:[2023-Oct]],0))</f>
        <v>1150.27</v>
      </c>
      <c r="U15" s="18">
        <f>INDEX(wpi_data_prepped[[2022-Jan]:[2023-Oct]],MATCH(U$2,wpi_data_prepped[category/commodity],0),MATCH($P15,wpi_data_prepped[[#Headers],[2022-Jan]:[2023-Oct]],0))</f>
        <v>877.31</v>
      </c>
      <c r="V15" s="18">
        <f>INDEX(wpi_data_prepped[[2022-Jan]:[2023-Oct]],MATCH(V$2,wpi_data_prepped[category/commodity],0),MATCH($P15,wpi_data_prepped[[#Headers],[2022-Jan]:[2023-Oct]],0))</f>
        <v>730.42</v>
      </c>
      <c r="W15" s="18">
        <f>INDEX(wpi_data_prepped[[2022-Jan]:[2023-Oct]],MATCH(W$2,wpi_data_prepped[category/commodity],0),MATCH($P15,wpi_data_prepped[[#Headers],[2022-Jan]:[2023-Oct]],0))</f>
        <v>663.83</v>
      </c>
      <c r="X15" s="18">
        <f>INDEX(wpi_data_prepped[[2022-Jan]:[2023-Oct]],MATCH(X$2,wpi_data_prepped[category/commodity],0),MATCH($P15,wpi_data_prepped[[#Headers],[2022-Jan]:[2023-Oct]],0))</f>
        <v>664.93</v>
      </c>
      <c r="Y15" s="18">
        <f>INDEX(wpi_data_prepped[[2022-Jan]:[2023-Oct]],MATCH(Y$2,wpi_data_prepped[category/commodity],0),MATCH($P15,wpi_data_prepped[[#Headers],[2022-Jan]:[2023-Oct]],0))</f>
        <v>641.77</v>
      </c>
      <c r="Z15" s="18">
        <f>INDEX(wpi_data_prepped[[2022-Jan]:[2023-Oct]],MATCH(Z$2,wpi_data_prepped[category/commodity],0),MATCH($P15,wpi_data_prepped[[#Headers],[2022-Jan]:[2023-Oct]],0))</f>
        <v>518.23</v>
      </c>
      <c r="AA15" s="18">
        <f>INDEX(wpi_data_prepped[[2022-Jan]:[2023-Oct]],MATCH(AA$2,wpi_data_prepped[category/commodity],0),MATCH($P15,wpi_data_prepped[[#Headers],[2022-Jan]:[2023-Oct]],0))</f>
        <v>617.80999999999995</v>
      </c>
      <c r="AB15" s="18">
        <f>INDEX(wpi_data_prepped[[2022-Jan]:[2023-Oct]],MATCH(AB$2,wpi_data_prepped[category/commodity],0),MATCH($P15,wpi_data_prepped[[#Headers],[2022-Jan]:[2023-Oct]],0))</f>
        <v>595.11</v>
      </c>
      <c r="AC15" s="18">
        <v>8775.07</v>
      </c>
      <c r="AD15" s="18">
        <v>3680.9</v>
      </c>
      <c r="AE15" s="18">
        <v>1925.15</v>
      </c>
    </row>
    <row r="16" spans="1:31" x14ac:dyDescent="0.35">
      <c r="A16" s="13" t="s">
        <v>318</v>
      </c>
      <c r="B16" s="14">
        <v>448.29</v>
      </c>
      <c r="P16" s="18" t="s">
        <v>771</v>
      </c>
      <c r="Q16" s="19">
        <f>DATEVALUE(_xlfn.CONCAT("01-",RIGHT(P16,3),"-",LEFT(P16,4)))</f>
        <v>44958</v>
      </c>
      <c r="R16" s="18">
        <f>INDEX(wpi_data_prepped[[2022-Jan]:[2023-Oct]],MATCH(R$2,wpi_data_prepped[category/commodity],0),MATCH($P16,wpi_data_prepped[[#Headers],[2022-Jan]:[2023-Oct]],0))</f>
        <v>1399.82</v>
      </c>
      <c r="S16" s="18">
        <f>INDEX(wpi_data_prepped[[2022-Jan]:[2023-Oct]],MATCH(S$2,wpi_data_prepped[category/commodity],0),MATCH($P16,wpi_data_prepped[[#Headers],[2022-Jan]:[2023-Oct]],0))</f>
        <v>1338.1</v>
      </c>
      <c r="T16" s="18">
        <f>INDEX(wpi_data_prepped[[2022-Jan]:[2023-Oct]],MATCH(T$2,wpi_data_prepped[category/commodity],0),MATCH($P16,wpi_data_prepped[[#Headers],[2022-Jan]:[2023-Oct]],0))</f>
        <v>1183.1600000000001</v>
      </c>
      <c r="U16" s="18">
        <f>INDEX(wpi_data_prepped[[2022-Jan]:[2023-Oct]],MATCH(U$2,wpi_data_prepped[category/commodity],0),MATCH($P16,wpi_data_prepped[[#Headers],[2022-Jan]:[2023-Oct]],0))</f>
        <v>874.25</v>
      </c>
      <c r="V16" s="18">
        <f>INDEX(wpi_data_prepped[[2022-Jan]:[2023-Oct]],MATCH(V$2,wpi_data_prepped[category/commodity],0),MATCH($P16,wpi_data_prepped[[#Headers],[2022-Jan]:[2023-Oct]],0))</f>
        <v>735.49</v>
      </c>
      <c r="W16" s="18">
        <f>INDEX(wpi_data_prepped[[2022-Jan]:[2023-Oct]],MATCH(W$2,wpi_data_prepped[category/commodity],0),MATCH($P16,wpi_data_prepped[[#Headers],[2022-Jan]:[2023-Oct]],0))</f>
        <v>664.31</v>
      </c>
      <c r="X16" s="18">
        <f>INDEX(wpi_data_prepped[[2022-Jan]:[2023-Oct]],MATCH(X$2,wpi_data_prepped[category/commodity],0),MATCH($P16,wpi_data_prepped[[#Headers],[2022-Jan]:[2023-Oct]],0))</f>
        <v>651.53</v>
      </c>
      <c r="Y16" s="18">
        <f>INDEX(wpi_data_prepped[[2022-Jan]:[2023-Oct]],MATCH(Y$2,wpi_data_prepped[category/commodity],0),MATCH($P16,wpi_data_prepped[[#Headers],[2022-Jan]:[2023-Oct]],0))</f>
        <v>641.77</v>
      </c>
      <c r="Z16" s="18">
        <f>INDEX(wpi_data_prepped[[2022-Jan]:[2023-Oct]],MATCH(Z$2,wpi_data_prepped[category/commodity],0),MATCH($P16,wpi_data_prepped[[#Headers],[2022-Jan]:[2023-Oct]],0))</f>
        <v>523.67999999999995</v>
      </c>
      <c r="AA16" s="18">
        <f>INDEX(wpi_data_prepped[[2022-Jan]:[2023-Oct]],MATCH(AA$2,wpi_data_prepped[category/commodity],0),MATCH($P16,wpi_data_prepped[[#Headers],[2022-Jan]:[2023-Oct]],0))</f>
        <v>612.52</v>
      </c>
      <c r="AB16" s="18">
        <f>INDEX(wpi_data_prepped[[2022-Jan]:[2023-Oct]],MATCH(AB$2,wpi_data_prepped[category/commodity],0),MATCH($P16,wpi_data_prepped[[#Headers],[2022-Jan]:[2023-Oct]],0))</f>
        <v>598.39</v>
      </c>
      <c r="AC16" s="18">
        <v>8787.48</v>
      </c>
      <c r="AD16" s="18">
        <v>3666.11</v>
      </c>
      <c r="AE16" s="18">
        <v>1949.9</v>
      </c>
    </row>
    <row r="17" spans="1:32" x14ac:dyDescent="0.35">
      <c r="A17" s="13" t="s">
        <v>616</v>
      </c>
      <c r="B17" s="14">
        <v>448.29</v>
      </c>
      <c r="P17" s="18" t="s">
        <v>772</v>
      </c>
      <c r="Q17" s="19">
        <f>DATEVALUE(_xlfn.CONCAT("01-",RIGHT(P17,3),"-",LEFT(P17,4)))</f>
        <v>44986</v>
      </c>
      <c r="R17" s="18">
        <f>INDEX(wpi_data_prepped[[2022-Jan]:[2023-Oct]],MATCH(R$2,wpi_data_prepped[category/commodity],0),MATCH($P17,wpi_data_prepped[[#Headers],[2022-Jan]:[2023-Oct]],0))</f>
        <v>1390.31</v>
      </c>
      <c r="S17" s="18">
        <f>INDEX(wpi_data_prepped[[2022-Jan]:[2023-Oct]],MATCH(S$2,wpi_data_prepped[category/commodity],0),MATCH($P17,wpi_data_prepped[[#Headers],[2022-Jan]:[2023-Oct]],0))</f>
        <v>1331.72</v>
      </c>
      <c r="T17" s="18">
        <f>INDEX(wpi_data_prepped[[2022-Jan]:[2023-Oct]],MATCH(T$2,wpi_data_prepped[category/commodity],0),MATCH($P17,wpi_data_prepped[[#Headers],[2022-Jan]:[2023-Oct]],0))</f>
        <v>1181.01</v>
      </c>
      <c r="U17" s="18">
        <f>INDEX(wpi_data_prepped[[2022-Jan]:[2023-Oct]],MATCH(U$2,wpi_data_prepped[category/commodity],0),MATCH($P17,wpi_data_prepped[[#Headers],[2022-Jan]:[2023-Oct]],0))</f>
        <v>870.58</v>
      </c>
      <c r="V17" s="18">
        <f>INDEX(wpi_data_prepped[[2022-Jan]:[2023-Oct]],MATCH(V$2,wpi_data_prepped[category/commodity],0),MATCH($P17,wpi_data_prepped[[#Headers],[2022-Jan]:[2023-Oct]],0))</f>
        <v>740.56</v>
      </c>
      <c r="W17" s="18">
        <f>INDEX(wpi_data_prepped[[2022-Jan]:[2023-Oct]],MATCH(W$2,wpi_data_prepped[category/commodity],0),MATCH($P17,wpi_data_prepped[[#Headers],[2022-Jan]:[2023-Oct]],0))</f>
        <v>662.38</v>
      </c>
      <c r="X17" s="18">
        <f>INDEX(wpi_data_prepped[[2022-Jan]:[2023-Oct]],MATCH(X$2,wpi_data_prepped[category/commodity],0),MATCH($P17,wpi_data_prepped[[#Headers],[2022-Jan]:[2023-Oct]],0))</f>
        <v>639.66</v>
      </c>
      <c r="Y17" s="18">
        <f>INDEX(wpi_data_prepped[[2022-Jan]:[2023-Oct]],MATCH(Y$2,wpi_data_prepped[category/commodity],0),MATCH($P17,wpi_data_prepped[[#Headers],[2022-Jan]:[2023-Oct]],0))</f>
        <v>648.33000000000004</v>
      </c>
      <c r="Z17" s="18">
        <f>INDEX(wpi_data_prepped[[2022-Jan]:[2023-Oct]],MATCH(Z$2,wpi_data_prepped[category/commodity],0),MATCH($P17,wpi_data_prepped[[#Headers],[2022-Jan]:[2023-Oct]],0))</f>
        <v>546.99</v>
      </c>
      <c r="AA17" s="18">
        <f>INDEX(wpi_data_prepped[[2022-Jan]:[2023-Oct]],MATCH(AA$2,wpi_data_prepped[category/commodity],0),MATCH($P17,wpi_data_prepped[[#Headers],[2022-Jan]:[2023-Oct]],0))</f>
        <v>604.59</v>
      </c>
      <c r="AB17" s="18">
        <f>INDEX(wpi_data_prepped[[2022-Jan]:[2023-Oct]],MATCH(AB$2,wpi_data_prepped[category/commodity],0),MATCH($P17,wpi_data_prepped[[#Headers],[2022-Jan]:[2023-Oct]],0))</f>
        <v>599.79999999999995</v>
      </c>
      <c r="AC17" s="18">
        <v>8768.8700000000008</v>
      </c>
      <c r="AD17" s="18">
        <v>3699.9</v>
      </c>
      <c r="AE17" s="18">
        <v>1935.05</v>
      </c>
    </row>
    <row r="18" spans="1:32" x14ac:dyDescent="0.35">
      <c r="A18" s="13" t="s">
        <v>801</v>
      </c>
      <c r="B18" s="14">
        <v>404.24</v>
      </c>
      <c r="P18" s="18" t="s">
        <v>773</v>
      </c>
      <c r="Q18" s="19">
        <f>DATEVALUE(_xlfn.CONCAT("01-",RIGHT(P18,3),"-",LEFT(P18,4)))</f>
        <v>45017</v>
      </c>
      <c r="R18" s="18">
        <f>INDEX(wpi_data_prepped[[2022-Jan]:[2023-Oct]],MATCH(R$2,wpi_data_prepped[category/commodity],0),MATCH($P18,wpi_data_prepped[[#Headers],[2022-Jan]:[2023-Oct]],0))</f>
        <v>1387.71</v>
      </c>
      <c r="S18" s="18">
        <f>INDEX(wpi_data_prepped[[2022-Jan]:[2023-Oct]],MATCH(S$2,wpi_data_prepped[category/commodity],0),MATCH($P18,wpi_data_prepped[[#Headers],[2022-Jan]:[2023-Oct]],0))</f>
        <v>1323.52</v>
      </c>
      <c r="T18" s="18">
        <f>INDEX(wpi_data_prepped[[2022-Jan]:[2023-Oct]],MATCH(T$2,wpi_data_prepped[category/commodity],0),MATCH($P18,wpi_data_prepped[[#Headers],[2022-Jan]:[2023-Oct]],0))</f>
        <v>1140.98</v>
      </c>
      <c r="U18" s="18">
        <f>INDEX(wpi_data_prepped[[2022-Jan]:[2023-Oct]],MATCH(U$2,wpi_data_prepped[category/commodity],0),MATCH($P18,wpi_data_prepped[[#Headers],[2022-Jan]:[2023-Oct]],0))</f>
        <v>863.84</v>
      </c>
      <c r="V18" s="18">
        <f>INDEX(wpi_data_prepped[[2022-Jan]:[2023-Oct]],MATCH(V$2,wpi_data_prepped[category/commodity],0),MATCH($P18,wpi_data_prepped[[#Headers],[2022-Jan]:[2023-Oct]],0))</f>
        <v>746.48</v>
      </c>
      <c r="W18" s="18">
        <f>INDEX(wpi_data_prepped[[2022-Jan]:[2023-Oct]],MATCH(W$2,wpi_data_prepped[category/commodity],0),MATCH($P18,wpi_data_prepped[[#Headers],[2022-Jan]:[2023-Oct]],0))</f>
        <v>664.31</v>
      </c>
      <c r="X18" s="18">
        <f>INDEX(wpi_data_prepped[[2022-Jan]:[2023-Oct]],MATCH(X$2,wpi_data_prepped[category/commodity],0),MATCH($P18,wpi_data_prepped[[#Headers],[2022-Jan]:[2023-Oct]],0))</f>
        <v>633.91999999999996</v>
      </c>
      <c r="Y18" s="18">
        <f>INDEX(wpi_data_prepped[[2022-Jan]:[2023-Oct]],MATCH(Y$2,wpi_data_prepped[category/commodity],0),MATCH($P18,wpi_data_prepped[[#Headers],[2022-Jan]:[2023-Oct]],0))</f>
        <v>646.30999999999995</v>
      </c>
      <c r="Z18" s="18">
        <f>INDEX(wpi_data_prepped[[2022-Jan]:[2023-Oct]],MATCH(Z$2,wpi_data_prepped[category/commodity],0),MATCH($P18,wpi_data_prepped[[#Headers],[2022-Jan]:[2023-Oct]],0))</f>
        <v>581.79999999999995</v>
      </c>
      <c r="AA18" s="18">
        <f>INDEX(wpi_data_prepped[[2022-Jan]:[2023-Oct]],MATCH(AA$2,wpi_data_prepped[category/commodity],0),MATCH($P18,wpi_data_prepped[[#Headers],[2022-Jan]:[2023-Oct]],0))</f>
        <v>606.91</v>
      </c>
      <c r="AB18" s="18">
        <f>INDEX(wpi_data_prepped[[2022-Jan]:[2023-Oct]],MATCH(AB$2,wpi_data_prepped[category/commodity],0),MATCH($P18,wpi_data_prepped[[#Headers],[2022-Jan]:[2023-Oct]],0))</f>
        <v>601.66999999999996</v>
      </c>
      <c r="AC18" s="18">
        <v>8775.07</v>
      </c>
      <c r="AD18" s="18">
        <v>3754.81</v>
      </c>
      <c r="AE18" s="18">
        <v>1889.27</v>
      </c>
    </row>
    <row r="19" spans="1:32" x14ac:dyDescent="0.35">
      <c r="A19" s="13" t="s">
        <v>159</v>
      </c>
      <c r="B19" s="14">
        <v>390.2</v>
      </c>
      <c r="P19" s="18" t="s">
        <v>774</v>
      </c>
      <c r="Q19" s="19">
        <f>DATEVALUE(_xlfn.CONCAT("01-",RIGHT(P19,3),"-",LEFT(P19,4)))</f>
        <v>45047</v>
      </c>
      <c r="R19" s="18">
        <f>INDEX(wpi_data_prepped[[2022-Jan]:[2023-Oct]],MATCH(R$2,wpi_data_prepped[category/commodity],0),MATCH($P19,wpi_data_prepped[[#Headers],[2022-Jan]:[2023-Oct]],0))</f>
        <v>1373.88</v>
      </c>
      <c r="S19" s="18">
        <f>INDEX(wpi_data_prepped[[2022-Jan]:[2023-Oct]],MATCH(S$2,wpi_data_prepped[category/commodity],0),MATCH($P19,wpi_data_prepped[[#Headers],[2022-Jan]:[2023-Oct]],0))</f>
        <v>1308.04</v>
      </c>
      <c r="T19" s="18">
        <f>INDEX(wpi_data_prepped[[2022-Jan]:[2023-Oct]],MATCH(T$2,wpi_data_prepped[category/commodity],0),MATCH($P19,wpi_data_prepped[[#Headers],[2022-Jan]:[2023-Oct]],0))</f>
        <v>1118.0999999999999</v>
      </c>
      <c r="U19" s="18">
        <f>INDEX(wpi_data_prepped[[2022-Jan]:[2023-Oct]],MATCH(U$2,wpi_data_prepped[category/commodity],0),MATCH($P19,wpi_data_prepped[[#Headers],[2022-Jan]:[2023-Oct]],0))</f>
        <v>854.66</v>
      </c>
      <c r="V19" s="18">
        <f>INDEX(wpi_data_prepped[[2022-Jan]:[2023-Oct]],MATCH(V$2,wpi_data_prepped[category/commodity],0),MATCH($P19,wpi_data_prepped[[#Headers],[2022-Jan]:[2023-Oct]],0))</f>
        <v>749.01</v>
      </c>
      <c r="W19" s="18">
        <f>INDEX(wpi_data_prepped[[2022-Jan]:[2023-Oct]],MATCH(W$2,wpi_data_prepped[category/commodity],0),MATCH($P19,wpi_data_prepped[[#Headers],[2022-Jan]:[2023-Oct]],0))</f>
        <v>658.02</v>
      </c>
      <c r="X19" s="18">
        <f>INDEX(wpi_data_prepped[[2022-Jan]:[2023-Oct]],MATCH(X$2,wpi_data_prepped[category/commodity],0),MATCH($P19,wpi_data_prepped[[#Headers],[2022-Jan]:[2023-Oct]],0))</f>
        <v>623.20000000000005</v>
      </c>
      <c r="Y19" s="18">
        <f>INDEX(wpi_data_prepped[[2022-Jan]:[2023-Oct]],MATCH(Y$2,wpi_data_prepped[category/commodity],0),MATCH($P19,wpi_data_prepped[[#Headers],[2022-Jan]:[2023-Oct]],0))</f>
        <v>646.82000000000005</v>
      </c>
      <c r="Z19" s="18">
        <f>INDEX(wpi_data_prepped[[2022-Jan]:[2023-Oct]],MATCH(Z$2,wpi_data_prepped[category/commodity],0),MATCH($P19,wpi_data_prepped[[#Headers],[2022-Jan]:[2023-Oct]],0))</f>
        <v>557.59</v>
      </c>
      <c r="AA19" s="18">
        <f>INDEX(wpi_data_prepped[[2022-Jan]:[2023-Oct]],MATCH(AA$2,wpi_data_prepped[category/commodity],0),MATCH($P19,wpi_data_prepped[[#Headers],[2022-Jan]:[2023-Oct]],0))</f>
        <v>605.26</v>
      </c>
      <c r="AB19" s="18">
        <f>INDEX(wpi_data_prepped[[2022-Jan]:[2023-Oct]],MATCH(AB$2,wpi_data_prepped[category/commodity],0),MATCH($P19,wpi_data_prepped[[#Headers],[2022-Jan]:[2023-Oct]],0))</f>
        <v>602.14</v>
      </c>
      <c r="AC19" s="18">
        <v>8725.42</v>
      </c>
      <c r="AD19" s="18">
        <v>3697.79</v>
      </c>
      <c r="AE19" s="18">
        <v>1838.54</v>
      </c>
    </row>
    <row r="20" spans="1:32" x14ac:dyDescent="0.35">
      <c r="A20" s="13" t="s">
        <v>804</v>
      </c>
      <c r="B20" s="14">
        <v>372.05</v>
      </c>
      <c r="P20" s="18" t="s">
        <v>775</v>
      </c>
      <c r="Q20" s="19">
        <f>DATEVALUE(_xlfn.CONCAT("01-",RIGHT(P20,3),"-",LEFT(P20,4)))</f>
        <v>45078</v>
      </c>
      <c r="R20" s="18">
        <f>INDEX(wpi_data_prepped[[2022-Jan]:[2023-Oct]],MATCH(R$2,wpi_data_prepped[category/commodity],0),MATCH($P20,wpi_data_prepped[[#Headers],[2022-Jan]:[2023-Oct]],0))</f>
        <v>1373.01</v>
      </c>
      <c r="S20" s="18">
        <f>INDEX(wpi_data_prepped[[2022-Jan]:[2023-Oct]],MATCH(S$2,wpi_data_prepped[category/commodity],0),MATCH($P20,wpi_data_prepped[[#Headers],[2022-Jan]:[2023-Oct]],0))</f>
        <v>1289.82</v>
      </c>
      <c r="T20" s="18">
        <f>INDEX(wpi_data_prepped[[2022-Jan]:[2023-Oct]],MATCH(T$2,wpi_data_prepped[category/commodity],0),MATCH($P20,wpi_data_prepped[[#Headers],[2022-Jan]:[2023-Oct]],0))</f>
        <v>1092.3699999999999</v>
      </c>
      <c r="U20" s="18">
        <f>INDEX(wpi_data_prepped[[2022-Jan]:[2023-Oct]],MATCH(U$2,wpi_data_prepped[category/commodity],0),MATCH($P20,wpi_data_prepped[[#Headers],[2022-Jan]:[2023-Oct]],0))</f>
        <v>844.25</v>
      </c>
      <c r="V20" s="18">
        <f>INDEX(wpi_data_prepped[[2022-Jan]:[2023-Oct]],MATCH(V$2,wpi_data_prepped[category/commodity],0),MATCH($P20,wpi_data_prepped[[#Headers],[2022-Jan]:[2023-Oct]],0))</f>
        <v>753.24</v>
      </c>
      <c r="W20" s="18">
        <f>INDEX(wpi_data_prepped[[2022-Jan]:[2023-Oct]],MATCH(W$2,wpi_data_prepped[category/commodity],0),MATCH($P20,wpi_data_prepped[[#Headers],[2022-Jan]:[2023-Oct]],0))</f>
        <v>652.69000000000005</v>
      </c>
      <c r="X20" s="18">
        <f>INDEX(wpi_data_prepped[[2022-Jan]:[2023-Oct]],MATCH(X$2,wpi_data_prepped[category/commodity],0),MATCH($P20,wpi_data_prepped[[#Headers],[2022-Jan]:[2023-Oct]],0))</f>
        <v>608.27</v>
      </c>
      <c r="Y20" s="18">
        <f>INDEX(wpi_data_prepped[[2022-Jan]:[2023-Oct]],MATCH(Y$2,wpi_data_prepped[category/commodity],0),MATCH($P20,wpi_data_prepped[[#Headers],[2022-Jan]:[2023-Oct]],0))</f>
        <v>645.29999999999995</v>
      </c>
      <c r="Z20" s="18">
        <f>INDEX(wpi_data_prepped[[2022-Jan]:[2023-Oct]],MATCH(Z$2,wpi_data_prepped[category/commodity],0),MATCH($P20,wpi_data_prepped[[#Headers],[2022-Jan]:[2023-Oct]],0))</f>
        <v>586.95000000000005</v>
      </c>
      <c r="AA20" s="18">
        <f>INDEX(wpi_data_prepped[[2022-Jan]:[2023-Oct]],MATCH(AA$2,wpi_data_prepped[category/commodity],0),MATCH($P20,wpi_data_prepped[[#Headers],[2022-Jan]:[2023-Oct]],0))</f>
        <v>611.86</v>
      </c>
      <c r="AB20" s="18">
        <f>INDEX(wpi_data_prepped[[2022-Jan]:[2023-Oct]],MATCH(AB$2,wpi_data_prepped[category/commodity],0),MATCH($P20,wpi_data_prepped[[#Headers],[2022-Jan]:[2023-Oct]],0))</f>
        <v>599.79999999999995</v>
      </c>
      <c r="AC20" s="18">
        <v>8681.98</v>
      </c>
      <c r="AD20" s="18">
        <v>3718.91</v>
      </c>
      <c r="AE20" s="18">
        <v>1808.85</v>
      </c>
    </row>
    <row r="21" spans="1:32" x14ac:dyDescent="0.35">
      <c r="A21" s="13" t="s">
        <v>37</v>
      </c>
      <c r="B21" s="14">
        <v>355.48</v>
      </c>
      <c r="P21" s="18" t="s">
        <v>776</v>
      </c>
      <c r="Q21" s="19">
        <f>DATEVALUE(_xlfn.CONCAT("01-",RIGHT(P21,3),"-",LEFT(P21,4)))</f>
        <v>45108</v>
      </c>
      <c r="R21" s="18">
        <f>INDEX(wpi_data_prepped[[2022-Jan]:[2023-Oct]],MATCH(R$2,wpi_data_prepped[category/commodity],0),MATCH($P21,wpi_data_prepped[[#Headers],[2022-Jan]:[2023-Oct]],0))</f>
        <v>1382.53</v>
      </c>
      <c r="S21" s="18">
        <f>INDEX(wpi_data_prepped[[2022-Jan]:[2023-Oct]],MATCH(S$2,wpi_data_prepped[category/commodity],0),MATCH($P21,wpi_data_prepped[[#Headers],[2022-Jan]:[2023-Oct]],0))</f>
        <v>1274.33</v>
      </c>
      <c r="T21" s="18">
        <f>INDEX(wpi_data_prepped[[2022-Jan]:[2023-Oct]],MATCH(T$2,wpi_data_prepped[category/commodity],0),MATCH($P21,wpi_data_prepped[[#Headers],[2022-Jan]:[2023-Oct]],0))</f>
        <v>1085.22</v>
      </c>
      <c r="U21" s="18">
        <f>INDEX(wpi_data_prepped[[2022-Jan]:[2023-Oct]],MATCH(U$2,wpi_data_prepped[category/commodity],0),MATCH($P21,wpi_data_prepped[[#Headers],[2022-Jan]:[2023-Oct]],0))</f>
        <v>836.29</v>
      </c>
      <c r="V21" s="18">
        <f>INDEX(wpi_data_prepped[[2022-Jan]:[2023-Oct]],MATCH(V$2,wpi_data_prepped[category/commodity],0),MATCH($P21,wpi_data_prepped[[#Headers],[2022-Jan]:[2023-Oct]],0))</f>
        <v>751.55</v>
      </c>
      <c r="W21" s="18">
        <f>INDEX(wpi_data_prepped[[2022-Jan]:[2023-Oct]],MATCH(W$2,wpi_data_prepped[category/commodity],0),MATCH($P21,wpi_data_prepped[[#Headers],[2022-Jan]:[2023-Oct]],0))</f>
        <v>648.34</v>
      </c>
      <c r="X21" s="18">
        <f>INDEX(wpi_data_prepped[[2022-Jan]:[2023-Oct]],MATCH(X$2,wpi_data_prepped[category/commodity],0),MATCH($P21,wpi_data_prepped[[#Headers],[2022-Jan]:[2023-Oct]],0))</f>
        <v>619.76</v>
      </c>
      <c r="Y21" s="18">
        <f>INDEX(wpi_data_prepped[[2022-Jan]:[2023-Oct]],MATCH(Y$2,wpi_data_prepped[category/commodity],0),MATCH($P21,wpi_data_prepped[[#Headers],[2022-Jan]:[2023-Oct]],0))</f>
        <v>648.84</v>
      </c>
      <c r="Z21" s="18">
        <f>INDEX(wpi_data_prepped[[2022-Jan]:[2023-Oct]],MATCH(Z$2,wpi_data_prepped[category/commodity],0),MATCH($P21,wpi_data_prepped[[#Headers],[2022-Jan]:[2023-Oct]],0))</f>
        <v>856.36</v>
      </c>
      <c r="AA21" s="18">
        <f>INDEX(wpi_data_prepped[[2022-Jan]:[2023-Oct]],MATCH(AA$2,wpi_data_prepped[category/commodity],0),MATCH($P21,wpi_data_prepped[[#Headers],[2022-Jan]:[2023-Oct]],0))</f>
        <v>618.79999999999995</v>
      </c>
      <c r="AB21" s="18">
        <f>INDEX(wpi_data_prepped[[2022-Jan]:[2023-Oct]],MATCH(AB$2,wpi_data_prepped[category/commodity],0),MATCH($P21,wpi_data_prepped[[#Headers],[2022-Jan]:[2023-Oct]],0))</f>
        <v>602.61</v>
      </c>
      <c r="AC21" s="18">
        <v>8657.16</v>
      </c>
      <c r="AD21" s="18">
        <v>4048.35</v>
      </c>
      <c r="AE21" s="18">
        <v>1798.95</v>
      </c>
    </row>
    <row r="22" spans="1:32" x14ac:dyDescent="0.35">
      <c r="A22" s="13" t="s">
        <v>828</v>
      </c>
      <c r="B22" s="14">
        <v>349.24</v>
      </c>
      <c r="P22" s="18" t="s">
        <v>777</v>
      </c>
      <c r="Q22" s="19">
        <f>DATEVALUE(_xlfn.CONCAT("01-",RIGHT(P22,3),"-",LEFT(P22,4)))</f>
        <v>45139</v>
      </c>
      <c r="R22" s="18">
        <f>INDEX(wpi_data_prepped[[2022-Jan]:[2023-Oct]],MATCH(R$2,wpi_data_prepped[category/commodity],0),MATCH($P22,wpi_data_prepped[[#Headers],[2022-Jan]:[2023-Oct]],0))</f>
        <v>1390.31</v>
      </c>
      <c r="S22" s="18">
        <f>INDEX(wpi_data_prepped[[2022-Jan]:[2023-Oct]],MATCH(S$2,wpi_data_prepped[category/commodity],0),MATCH($P22,wpi_data_prepped[[#Headers],[2022-Jan]:[2023-Oct]],0))</f>
        <v>1280.71</v>
      </c>
      <c r="T22" s="18">
        <f>INDEX(wpi_data_prepped[[2022-Jan]:[2023-Oct]],MATCH(T$2,wpi_data_prepped[category/commodity],0),MATCH($P22,wpi_data_prepped[[#Headers],[2022-Jan]:[2023-Oct]],0))</f>
        <v>1126.68</v>
      </c>
      <c r="U22" s="18">
        <f>INDEX(wpi_data_prepped[[2022-Jan]:[2023-Oct]],MATCH(U$2,wpi_data_prepped[category/commodity],0),MATCH($P22,wpi_data_prepped[[#Headers],[2022-Jan]:[2023-Oct]],0))</f>
        <v>834.46</v>
      </c>
      <c r="V22" s="18">
        <f>INDEX(wpi_data_prepped[[2022-Jan]:[2023-Oct]],MATCH(V$2,wpi_data_prepped[category/commodity],0),MATCH($P22,wpi_data_prepped[[#Headers],[2022-Jan]:[2023-Oct]],0))</f>
        <v>758.73</v>
      </c>
      <c r="W22" s="18">
        <f>INDEX(wpi_data_prepped[[2022-Jan]:[2023-Oct]],MATCH(W$2,wpi_data_prepped[category/commodity],0),MATCH($P22,wpi_data_prepped[[#Headers],[2022-Jan]:[2023-Oct]],0))</f>
        <v>649.29999999999995</v>
      </c>
      <c r="X22" s="18">
        <f>INDEX(wpi_data_prepped[[2022-Jan]:[2023-Oct]],MATCH(X$2,wpi_data_prepped[category/commodity],0),MATCH($P22,wpi_data_prepped[[#Headers],[2022-Jan]:[2023-Oct]],0))</f>
        <v>624.73</v>
      </c>
      <c r="Y22" s="18">
        <f>INDEX(wpi_data_prepped[[2022-Jan]:[2023-Oct]],MATCH(Y$2,wpi_data_prepped[category/commodity],0),MATCH($P22,wpi_data_prepped[[#Headers],[2022-Jan]:[2023-Oct]],0))</f>
        <v>647.83000000000004</v>
      </c>
      <c r="Z22" s="18">
        <f>INDEX(wpi_data_prepped[[2022-Jan]:[2023-Oct]],MATCH(Z$2,wpi_data_prepped[category/commodity],0),MATCH($P22,wpi_data_prepped[[#Headers],[2022-Jan]:[2023-Oct]],0))</f>
        <v>797.94</v>
      </c>
      <c r="AA22" s="18">
        <f>INDEX(wpi_data_prepped[[2022-Jan]:[2023-Oct]],MATCH(AA$2,wpi_data_prepped[category/commodity],0),MATCH($P22,wpi_data_prepped[[#Headers],[2022-Jan]:[2023-Oct]],0))</f>
        <v>628.04999999999995</v>
      </c>
      <c r="AB22" s="18">
        <f>INDEX(wpi_data_prepped[[2022-Jan]:[2023-Oct]],MATCH(AB$2,wpi_data_prepped[category/commodity],0),MATCH($P22,wpi_data_prepped[[#Headers],[2022-Jan]:[2023-Oct]],0))</f>
        <v>602.14</v>
      </c>
      <c r="AC22" s="18">
        <v>8681.98</v>
      </c>
      <c r="AD22" s="18">
        <v>4018.79</v>
      </c>
      <c r="AE22" s="18">
        <v>1844.73</v>
      </c>
    </row>
    <row r="23" spans="1:32" x14ac:dyDescent="0.35">
      <c r="A23" s="13" t="s">
        <v>790</v>
      </c>
      <c r="B23" s="14">
        <v>343</v>
      </c>
      <c r="P23" s="18" t="s">
        <v>778</v>
      </c>
      <c r="Q23" s="19">
        <f>DATEVALUE(_xlfn.CONCAT("01-",RIGHT(P23,3),"-",LEFT(P23,4)))</f>
        <v>45170</v>
      </c>
      <c r="R23" s="18">
        <f>INDEX(wpi_data_prepped[[2022-Jan]:[2023-Oct]],MATCH(R$2,wpi_data_prepped[category/commodity],0),MATCH($P23,wpi_data_prepped[[#Headers],[2022-Jan]:[2023-Oct]],0))</f>
        <v>1386.85</v>
      </c>
      <c r="S23" s="18">
        <f>INDEX(wpi_data_prepped[[2022-Jan]:[2023-Oct]],MATCH(S$2,wpi_data_prepped[category/commodity],0),MATCH($P23,wpi_data_prepped[[#Headers],[2022-Jan]:[2023-Oct]],0))</f>
        <v>1302.57</v>
      </c>
      <c r="T23" s="18">
        <f>INDEX(wpi_data_prepped[[2022-Jan]:[2023-Oct]],MATCH(T$2,wpi_data_prepped[category/commodity],0),MATCH($P23,wpi_data_prepped[[#Headers],[2022-Jan]:[2023-Oct]],0))</f>
        <v>1170.29</v>
      </c>
      <c r="U23" s="18">
        <f>INDEX(wpi_data_prepped[[2022-Jan]:[2023-Oct]],MATCH(U$2,wpi_data_prepped[category/commodity],0),MATCH($P23,wpi_data_prepped[[#Headers],[2022-Jan]:[2023-Oct]],0))</f>
        <v>834.46</v>
      </c>
      <c r="V23" s="18">
        <f>INDEX(wpi_data_prepped[[2022-Jan]:[2023-Oct]],MATCH(V$2,wpi_data_prepped[category/commodity],0),MATCH($P23,wpi_data_prepped[[#Headers],[2022-Jan]:[2023-Oct]],0))</f>
        <v>760.42</v>
      </c>
      <c r="W23" s="18">
        <f>INDEX(wpi_data_prepped[[2022-Jan]:[2023-Oct]],MATCH(W$2,wpi_data_prepped[category/commodity],0),MATCH($P23,wpi_data_prepped[[#Headers],[2022-Jan]:[2023-Oct]],0))</f>
        <v>650.27</v>
      </c>
      <c r="X23" s="18">
        <f>INDEX(wpi_data_prepped[[2022-Jan]:[2023-Oct]],MATCH(X$2,wpi_data_prepped[category/commodity],0),MATCH($P23,wpi_data_prepped[[#Headers],[2022-Jan]:[2023-Oct]],0))</f>
        <v>630.09</v>
      </c>
      <c r="Y23" s="18">
        <f>INDEX(wpi_data_prepped[[2022-Jan]:[2023-Oct]],MATCH(Y$2,wpi_data_prepped[category/commodity],0),MATCH($P23,wpi_data_prepped[[#Headers],[2022-Jan]:[2023-Oct]],0))</f>
        <v>646.30999999999995</v>
      </c>
      <c r="Z23" s="18">
        <f>INDEX(wpi_data_prepped[[2022-Jan]:[2023-Oct]],MATCH(Z$2,wpi_data_prepped[category/commodity],0),MATCH($P23,wpi_data_prepped[[#Headers],[2022-Jan]:[2023-Oct]],0))</f>
        <v>600.87</v>
      </c>
      <c r="AA23" s="18">
        <f>INDEX(wpi_data_prepped[[2022-Jan]:[2023-Oct]],MATCH(AA$2,wpi_data_prepped[category/commodity],0),MATCH($P23,wpi_data_prepped[[#Headers],[2022-Jan]:[2023-Oct]],0))</f>
        <v>641.6</v>
      </c>
      <c r="AB23" s="18">
        <f>INDEX(wpi_data_prepped[[2022-Jan]:[2023-Oct]],MATCH(AB$2,wpi_data_prepped[category/commodity],0),MATCH($P23,wpi_data_prepped[[#Headers],[2022-Jan]:[2023-Oct]],0))</f>
        <v>605.41999999999996</v>
      </c>
      <c r="AC23" s="18">
        <v>8713.01</v>
      </c>
      <c r="AD23" s="18">
        <v>3877.3</v>
      </c>
      <c r="AE23" s="18">
        <v>1894.22</v>
      </c>
    </row>
    <row r="24" spans="1:32" x14ac:dyDescent="0.35">
      <c r="A24" s="13" t="s">
        <v>863</v>
      </c>
      <c r="B24" s="14">
        <v>340.67</v>
      </c>
      <c r="P24" s="18" t="s">
        <v>779</v>
      </c>
      <c r="Q24" s="19">
        <f>DATEVALUE(_xlfn.CONCAT("01-",RIGHT(P24,3),"-",LEFT(P24,4)))</f>
        <v>45200</v>
      </c>
      <c r="R24" s="18">
        <f>INDEX(wpi_data_prepped[[2022-Jan]:[2023-Oct]],MATCH(R$2,wpi_data_prepped[category/commodity],0),MATCH($P24,wpi_data_prepped[[#Headers],[2022-Jan]:[2023-Oct]],0))</f>
        <v>1390.31</v>
      </c>
      <c r="S24" s="18">
        <f>INDEX(wpi_data_prepped[[2022-Jan]:[2023-Oct]],MATCH(S$2,wpi_data_prepped[category/commodity],0),MATCH($P24,wpi_data_prepped[[#Headers],[2022-Jan]:[2023-Oct]],0))</f>
        <v>1295.28</v>
      </c>
      <c r="T24" s="18">
        <f>INDEX(wpi_data_prepped[[2022-Jan]:[2023-Oct]],MATCH(T$2,wpi_data_prepped[category/commodity],0),MATCH($P24,wpi_data_prepped[[#Headers],[2022-Jan]:[2023-Oct]],0))</f>
        <v>1183.8699999999999</v>
      </c>
      <c r="U24" s="18">
        <f>INDEX(wpi_data_prepped[[2022-Jan]:[2023-Oct]],MATCH(U$2,wpi_data_prepped[category/commodity],0),MATCH($P24,wpi_data_prepped[[#Headers],[2022-Jan]:[2023-Oct]],0))</f>
        <v>836.29</v>
      </c>
      <c r="V24" s="18">
        <f>INDEX(wpi_data_prepped[[2022-Jan]:[2023-Oct]],MATCH(V$2,wpi_data_prepped[category/commodity],0),MATCH($P24,wpi_data_prepped[[#Headers],[2022-Jan]:[2023-Oct]],0))</f>
        <v>761.26</v>
      </c>
      <c r="W24" s="18">
        <f>INDEX(wpi_data_prepped[[2022-Jan]:[2023-Oct]],MATCH(W$2,wpi_data_prepped[category/commodity],0),MATCH($P24,wpi_data_prepped[[#Headers],[2022-Jan]:[2023-Oct]],0))</f>
        <v>652.21</v>
      </c>
      <c r="X24" s="18">
        <f>INDEX(wpi_data_prepped[[2022-Jan]:[2023-Oct]],MATCH(X$2,wpi_data_prepped[category/commodity],0),MATCH($P24,wpi_data_prepped[[#Headers],[2022-Jan]:[2023-Oct]],0))</f>
        <v>628.17999999999995</v>
      </c>
      <c r="Y24" s="18">
        <f>INDEX(wpi_data_prepped[[2022-Jan]:[2023-Oct]],MATCH(Y$2,wpi_data_prepped[category/commodity],0),MATCH($P24,wpi_data_prepped[[#Headers],[2022-Jan]:[2023-Oct]],0))</f>
        <v>644.79999999999995</v>
      </c>
      <c r="Z24" s="18">
        <f>INDEX(wpi_data_prepped[[2022-Jan]:[2023-Oct]],MATCH(Z$2,wpi_data_prepped[category/commodity],0),MATCH($P24,wpi_data_prepped[[#Headers],[2022-Jan]:[2023-Oct]],0))</f>
        <v>620.25</v>
      </c>
      <c r="AA24" s="18">
        <f>INDEX(wpi_data_prepped[[2022-Jan]:[2023-Oct]],MATCH(AA$2,wpi_data_prepped[category/commodity],0),MATCH($P24,wpi_data_prepped[[#Headers],[2022-Jan]:[2023-Oct]],0))</f>
        <v>652.16999999999996</v>
      </c>
      <c r="AB24" s="18">
        <f>INDEX(wpi_data_prepped[[2022-Jan]:[2023-Oct]],MATCH(AB$2,wpi_data_prepped[category/commodity],0),MATCH($P24,wpi_data_prepped[[#Headers],[2022-Jan]:[2023-Oct]],0))</f>
        <v>604.01</v>
      </c>
      <c r="AC24" s="18">
        <v>8713.01</v>
      </c>
      <c r="AD24" s="18">
        <v>3913.2</v>
      </c>
      <c r="AE24" s="18">
        <v>1923.91</v>
      </c>
    </row>
    <row r="25" spans="1:32" x14ac:dyDescent="0.35">
      <c r="A25" s="13" t="s">
        <v>589</v>
      </c>
      <c r="B25" s="14">
        <v>330.72</v>
      </c>
    </row>
    <row r="26" spans="1:32" x14ac:dyDescent="0.35">
      <c r="A26" s="13" t="s">
        <v>626</v>
      </c>
      <c r="B26" s="14">
        <v>309.22000000000003</v>
      </c>
      <c r="P26" s="17" t="s">
        <v>781</v>
      </c>
      <c r="Q26" s="17" t="s">
        <v>901</v>
      </c>
      <c r="R26" s="17" t="s">
        <v>902</v>
      </c>
      <c r="S26" s="17" t="s">
        <v>903</v>
      </c>
      <c r="T26" s="17" t="s">
        <v>904</v>
      </c>
      <c r="U26" s="17" t="s">
        <v>905</v>
      </c>
      <c r="V26" s="17" t="s">
        <v>906</v>
      </c>
      <c r="W26" s="17" t="s">
        <v>907</v>
      </c>
      <c r="X26" s="17" t="s">
        <v>894</v>
      </c>
      <c r="Y26" s="17" t="s">
        <v>895</v>
      </c>
      <c r="Z26" s="17" t="s">
        <v>896</v>
      </c>
      <c r="AA26" s="17" t="s">
        <v>897</v>
      </c>
      <c r="AC26" s="17" t="s">
        <v>781</v>
      </c>
      <c r="AD26" s="17" t="s">
        <v>908</v>
      </c>
      <c r="AE26" s="17" t="s">
        <v>909</v>
      </c>
      <c r="AF26" s="17" t="s">
        <v>910</v>
      </c>
    </row>
    <row r="27" spans="1:32" x14ac:dyDescent="0.35">
      <c r="A27" s="13" t="s">
        <v>829</v>
      </c>
      <c r="B27" s="14">
        <v>295.8</v>
      </c>
      <c r="P27" s="20" t="s">
        <v>898</v>
      </c>
      <c r="Q27" s="21">
        <v>17128.099999999999</v>
      </c>
      <c r="R27" s="21">
        <v>16341.339999999997</v>
      </c>
      <c r="S27" s="21">
        <v>14425.949999999997</v>
      </c>
      <c r="T27" s="21">
        <v>10627.53</v>
      </c>
      <c r="U27" s="21">
        <v>8311.7800000000007</v>
      </c>
      <c r="V27" s="21">
        <v>8365.43</v>
      </c>
      <c r="W27" s="21">
        <v>7906.7599999999993</v>
      </c>
      <c r="X27" s="21">
        <v>7701.7199999999993</v>
      </c>
      <c r="Y27" s="21">
        <v>7432.9900000000007</v>
      </c>
      <c r="Z27" s="21">
        <v>6898.329999999999</v>
      </c>
      <c r="AA27" s="21">
        <v>7021.37</v>
      </c>
      <c r="AC27" s="20" t="s">
        <v>898</v>
      </c>
      <c r="AD27" s="21"/>
      <c r="AE27" s="21"/>
      <c r="AF27" s="21"/>
    </row>
    <row r="28" spans="1:32" x14ac:dyDescent="0.35">
      <c r="A28" s="13" t="s">
        <v>446</v>
      </c>
      <c r="B28" s="14">
        <v>290.20999999999998</v>
      </c>
      <c r="P28" s="22" t="s">
        <v>754</v>
      </c>
      <c r="Q28" s="21">
        <v>1356.59</v>
      </c>
      <c r="R28" s="21">
        <v>1303.48</v>
      </c>
      <c r="S28" s="21">
        <v>975.84</v>
      </c>
      <c r="T28" s="21">
        <v>841.8</v>
      </c>
      <c r="U28" s="21">
        <v>664.94</v>
      </c>
      <c r="V28" s="21">
        <v>678.84</v>
      </c>
      <c r="W28" s="21">
        <v>635.07000000000005</v>
      </c>
      <c r="X28" s="21">
        <v>632.67999999999995</v>
      </c>
      <c r="Y28" s="21">
        <v>610.86</v>
      </c>
      <c r="Z28" s="21">
        <v>546.78</v>
      </c>
      <c r="AA28" s="21">
        <v>569.80999999999995</v>
      </c>
      <c r="AC28" s="22" t="s">
        <v>754</v>
      </c>
      <c r="AD28" s="21">
        <v>8514.43</v>
      </c>
      <c r="AE28" s="21">
        <v>1673.99</v>
      </c>
      <c r="AF28" s="21">
        <v>3537.29</v>
      </c>
    </row>
    <row r="29" spans="1:32" x14ac:dyDescent="0.35">
      <c r="A29" s="13" t="s">
        <v>610</v>
      </c>
      <c r="B29" s="14">
        <v>289.68</v>
      </c>
      <c r="P29" s="22" t="s">
        <v>755</v>
      </c>
      <c r="Q29" s="21">
        <v>1387.71</v>
      </c>
      <c r="R29" s="21">
        <v>1339.92</v>
      </c>
      <c r="S29" s="21">
        <v>1021.59</v>
      </c>
      <c r="T29" s="21">
        <v>852.21</v>
      </c>
      <c r="U29" s="21">
        <v>666.63</v>
      </c>
      <c r="V29" s="21">
        <v>689.49</v>
      </c>
      <c r="W29" s="21">
        <v>651.53</v>
      </c>
      <c r="X29" s="21">
        <v>634.19000000000005</v>
      </c>
      <c r="Y29" s="21">
        <v>581.5</v>
      </c>
      <c r="Z29" s="21">
        <v>548.1</v>
      </c>
      <c r="AA29" s="21">
        <v>571.67999999999995</v>
      </c>
      <c r="AC29" s="22" t="s">
        <v>755</v>
      </c>
      <c r="AD29" s="21">
        <v>8619.92</v>
      </c>
      <c r="AE29" s="21">
        <v>1711.11</v>
      </c>
      <c r="AF29" s="21">
        <v>3537.29</v>
      </c>
    </row>
    <row r="30" spans="1:32" x14ac:dyDescent="0.35">
      <c r="A30" s="13" t="s">
        <v>799</v>
      </c>
      <c r="B30" s="14">
        <v>284.68</v>
      </c>
      <c r="P30" s="22" t="s">
        <v>756</v>
      </c>
      <c r="Q30" s="21">
        <v>1432.67</v>
      </c>
      <c r="R30" s="21">
        <v>1434.65</v>
      </c>
      <c r="S30" s="21">
        <v>1113.0999999999999</v>
      </c>
      <c r="T30" s="21">
        <v>871.19</v>
      </c>
      <c r="U30" s="21">
        <v>682.69</v>
      </c>
      <c r="V30" s="21">
        <v>696.76</v>
      </c>
      <c r="W30" s="21">
        <v>669.9</v>
      </c>
      <c r="X30" s="21">
        <v>635.20000000000005</v>
      </c>
      <c r="Y30" s="21">
        <v>541.85</v>
      </c>
      <c r="Z30" s="21">
        <v>558.66999999999996</v>
      </c>
      <c r="AA30" s="21">
        <v>574.96</v>
      </c>
      <c r="AC30" s="22" t="s">
        <v>756</v>
      </c>
      <c r="AD30" s="21">
        <v>8830.92</v>
      </c>
      <c r="AE30" s="21">
        <v>1780.39</v>
      </c>
      <c r="AF30" s="21">
        <v>3609.1</v>
      </c>
    </row>
    <row r="31" spans="1:32" x14ac:dyDescent="0.35">
      <c r="A31" s="13" t="s">
        <v>290</v>
      </c>
      <c r="B31" s="14">
        <v>261.12</v>
      </c>
      <c r="P31" s="22" t="s">
        <v>745</v>
      </c>
      <c r="Q31" s="21">
        <v>1468.99</v>
      </c>
      <c r="R31" s="21">
        <v>1468.35</v>
      </c>
      <c r="S31" s="21">
        <v>1200.32</v>
      </c>
      <c r="T31" s="21">
        <v>892.01</v>
      </c>
      <c r="U31" s="21">
        <v>689.87</v>
      </c>
      <c r="V31" s="21">
        <v>705.96</v>
      </c>
      <c r="W31" s="21">
        <v>679.47</v>
      </c>
      <c r="X31" s="21">
        <v>636.72</v>
      </c>
      <c r="Y31" s="21">
        <v>599.36</v>
      </c>
      <c r="Z31" s="21">
        <v>565.61</v>
      </c>
      <c r="AA31" s="21">
        <v>582.46</v>
      </c>
      <c r="AC31" s="22" t="s">
        <v>745</v>
      </c>
      <c r="AD31" s="21">
        <v>8979.86</v>
      </c>
      <c r="AE31" s="21">
        <v>1870.71</v>
      </c>
      <c r="AF31" s="21">
        <v>3685.12</v>
      </c>
    </row>
    <row r="32" spans="1:32" x14ac:dyDescent="0.35">
      <c r="A32" s="13" t="s">
        <v>166</v>
      </c>
      <c r="B32" s="14">
        <v>245.36</v>
      </c>
      <c r="P32" s="22" t="s">
        <v>746</v>
      </c>
      <c r="Q32" s="21">
        <v>1476.77</v>
      </c>
      <c r="R32" s="21">
        <v>1441.03</v>
      </c>
      <c r="S32" s="21">
        <v>1334.72</v>
      </c>
      <c r="T32" s="21">
        <v>899.96</v>
      </c>
      <c r="U32" s="21">
        <v>692.4</v>
      </c>
      <c r="V32" s="21">
        <v>719.03</v>
      </c>
      <c r="W32" s="21">
        <v>688.66</v>
      </c>
      <c r="X32" s="21">
        <v>643.79</v>
      </c>
      <c r="Y32" s="21">
        <v>630.84</v>
      </c>
      <c r="Z32" s="21">
        <v>567.26</v>
      </c>
      <c r="AA32" s="21">
        <v>585.27</v>
      </c>
      <c r="AC32" s="22" t="s">
        <v>746</v>
      </c>
      <c r="AD32" s="21">
        <v>8998.48</v>
      </c>
      <c r="AE32" s="21">
        <v>2024.13</v>
      </c>
      <c r="AF32" s="21">
        <v>3769.59</v>
      </c>
    </row>
    <row r="33" spans="1:32" x14ac:dyDescent="0.35">
      <c r="A33" s="13" t="s">
        <v>314</v>
      </c>
      <c r="B33" s="14">
        <v>245.04</v>
      </c>
      <c r="P33" s="22" t="s">
        <v>747</v>
      </c>
      <c r="Q33" s="21">
        <v>1461.21</v>
      </c>
      <c r="R33" s="21">
        <v>1366.33</v>
      </c>
      <c r="S33" s="21">
        <v>1356.88</v>
      </c>
      <c r="T33" s="21">
        <v>907.92</v>
      </c>
      <c r="U33" s="21">
        <v>693.67</v>
      </c>
      <c r="V33" s="21">
        <v>722.9</v>
      </c>
      <c r="W33" s="21">
        <v>673.35</v>
      </c>
      <c r="X33" s="21">
        <v>645.29999999999995</v>
      </c>
      <c r="Y33" s="21">
        <v>683.82</v>
      </c>
      <c r="Z33" s="21">
        <v>563.96</v>
      </c>
      <c r="AA33" s="21">
        <v>586.21</v>
      </c>
      <c r="AC33" s="22" t="s">
        <v>747</v>
      </c>
      <c r="AD33" s="21">
        <v>8930.2199999999993</v>
      </c>
      <c r="AE33" s="21">
        <v>2067.4299999999998</v>
      </c>
      <c r="AF33" s="21">
        <v>3832.95</v>
      </c>
    </row>
    <row r="34" spans="1:32" x14ac:dyDescent="0.35">
      <c r="A34" s="13" t="s">
        <v>38</v>
      </c>
      <c r="B34" s="14">
        <v>244.48</v>
      </c>
      <c r="P34" s="22" t="s">
        <v>748</v>
      </c>
      <c r="Q34" s="21">
        <v>1437.86</v>
      </c>
      <c r="R34" s="21">
        <v>1360.87</v>
      </c>
      <c r="S34" s="21">
        <v>1350.44</v>
      </c>
      <c r="T34" s="21">
        <v>904.86</v>
      </c>
      <c r="U34" s="21">
        <v>694.51</v>
      </c>
      <c r="V34" s="21">
        <v>713.22</v>
      </c>
      <c r="W34" s="21">
        <v>657.65</v>
      </c>
      <c r="X34" s="21">
        <v>646.82000000000005</v>
      </c>
      <c r="Y34" s="21">
        <v>632.66</v>
      </c>
      <c r="Z34" s="21">
        <v>570.24</v>
      </c>
      <c r="AA34" s="21">
        <v>589.49</v>
      </c>
      <c r="AC34" s="22" t="s">
        <v>748</v>
      </c>
      <c r="AD34" s="21">
        <v>8886.7800000000007</v>
      </c>
      <c r="AE34" s="21">
        <v>2061.25</v>
      </c>
      <c r="AF34" s="21">
        <v>3740.03</v>
      </c>
    </row>
    <row r="35" spans="1:32" x14ac:dyDescent="0.35">
      <c r="A35" s="13" t="s">
        <v>858</v>
      </c>
      <c r="B35" s="14">
        <v>241.98</v>
      </c>
      <c r="P35" s="22" t="s">
        <v>749</v>
      </c>
      <c r="Q35" s="21">
        <v>1441.32</v>
      </c>
      <c r="R35" s="21">
        <v>1356.31</v>
      </c>
      <c r="S35" s="21">
        <v>1248.21</v>
      </c>
      <c r="T35" s="21">
        <v>897.52</v>
      </c>
      <c r="U35" s="21">
        <v>699.16</v>
      </c>
      <c r="V35" s="21">
        <v>709.34</v>
      </c>
      <c r="W35" s="21">
        <v>670.28</v>
      </c>
      <c r="X35" s="21">
        <v>641.26</v>
      </c>
      <c r="Y35" s="21">
        <v>655.05999999999995</v>
      </c>
      <c r="Z35" s="21">
        <v>584.77</v>
      </c>
      <c r="AA35" s="21">
        <v>590.89</v>
      </c>
      <c r="AC35" s="22" t="s">
        <v>749</v>
      </c>
      <c r="AD35" s="21">
        <v>8886.7800000000007</v>
      </c>
      <c r="AE35" s="21">
        <v>1969.69</v>
      </c>
      <c r="AF35" s="21">
        <v>3765.37</v>
      </c>
    </row>
    <row r="36" spans="1:32" x14ac:dyDescent="0.35">
      <c r="A36" s="13" t="s">
        <v>807</v>
      </c>
      <c r="B36" s="14">
        <v>239.66</v>
      </c>
      <c r="P36" s="22" t="s">
        <v>750</v>
      </c>
      <c r="Q36" s="21">
        <v>1411.92</v>
      </c>
      <c r="R36" s="21">
        <v>1335.36</v>
      </c>
      <c r="S36" s="21">
        <v>1227.48</v>
      </c>
      <c r="T36" s="21">
        <v>893.84</v>
      </c>
      <c r="U36" s="21">
        <v>699.16</v>
      </c>
      <c r="V36" s="21">
        <v>699.66</v>
      </c>
      <c r="W36" s="21">
        <v>643.87</v>
      </c>
      <c r="X36" s="21">
        <v>647.83000000000004</v>
      </c>
      <c r="Y36" s="21">
        <v>652.64</v>
      </c>
      <c r="Z36" s="21">
        <v>589.4</v>
      </c>
      <c r="AA36" s="21">
        <v>592.29999999999995</v>
      </c>
      <c r="AC36" s="22" t="s">
        <v>750</v>
      </c>
      <c r="AD36" s="21">
        <v>8824.7199999999993</v>
      </c>
      <c r="AE36" s="21">
        <v>1959.79</v>
      </c>
      <c r="AF36" s="21">
        <v>3714.69</v>
      </c>
    </row>
    <row r="37" spans="1:32" x14ac:dyDescent="0.35">
      <c r="A37" s="13" t="s">
        <v>873</v>
      </c>
      <c r="B37" s="14">
        <v>239.5</v>
      </c>
      <c r="P37" s="22" t="s">
        <v>751</v>
      </c>
      <c r="Q37" s="21">
        <v>1415.38</v>
      </c>
      <c r="R37" s="21">
        <v>1326.26</v>
      </c>
      <c r="S37" s="21">
        <v>1189.5899999999999</v>
      </c>
      <c r="T37" s="21">
        <v>895.68</v>
      </c>
      <c r="U37" s="21">
        <v>704.23</v>
      </c>
      <c r="V37" s="21">
        <v>689.98</v>
      </c>
      <c r="W37" s="21">
        <v>635.45000000000005</v>
      </c>
      <c r="X37" s="21">
        <v>646.82000000000005</v>
      </c>
      <c r="Y37" s="21">
        <v>698.65</v>
      </c>
      <c r="Z37" s="21">
        <v>593.36</v>
      </c>
      <c r="AA37" s="21">
        <v>592.77</v>
      </c>
      <c r="AC37" s="22" t="s">
        <v>751</v>
      </c>
      <c r="AD37" s="21">
        <v>8806.1</v>
      </c>
      <c r="AE37" s="21">
        <v>1954.84</v>
      </c>
      <c r="AF37" s="21">
        <v>3826.61</v>
      </c>
    </row>
    <row r="38" spans="1:32" x14ac:dyDescent="0.35">
      <c r="A38" s="13" t="s">
        <v>337</v>
      </c>
      <c r="B38" s="14">
        <v>236.14</v>
      </c>
      <c r="P38" s="22" t="s">
        <v>752</v>
      </c>
      <c r="Q38" s="21">
        <v>1423.16</v>
      </c>
      <c r="R38" s="21">
        <v>1304.3900000000001</v>
      </c>
      <c r="S38" s="21">
        <v>1232.49</v>
      </c>
      <c r="T38" s="21">
        <v>888.94</v>
      </c>
      <c r="U38" s="21">
        <v>706.77</v>
      </c>
      <c r="V38" s="21">
        <v>674</v>
      </c>
      <c r="W38" s="21">
        <v>646.16999999999996</v>
      </c>
      <c r="X38" s="21">
        <v>644.79999999999995</v>
      </c>
      <c r="Y38" s="21">
        <v>621.76</v>
      </c>
      <c r="Z38" s="21">
        <v>600.96</v>
      </c>
      <c r="AA38" s="21">
        <v>593.70000000000005</v>
      </c>
      <c r="AC38" s="22" t="s">
        <v>752</v>
      </c>
      <c r="AD38" s="21">
        <v>8768.8700000000008</v>
      </c>
      <c r="AE38" s="21">
        <v>2014.23</v>
      </c>
      <c r="AF38" s="21">
        <v>3767.48</v>
      </c>
    </row>
    <row r="39" spans="1:32" x14ac:dyDescent="0.35">
      <c r="A39" s="13" t="s">
        <v>843</v>
      </c>
      <c r="B39" s="14">
        <v>207.92</v>
      </c>
      <c r="P39" s="22" t="s">
        <v>753</v>
      </c>
      <c r="Q39" s="21">
        <v>1414.52</v>
      </c>
      <c r="R39" s="21">
        <v>1304.3900000000001</v>
      </c>
      <c r="S39" s="21">
        <v>1175.29</v>
      </c>
      <c r="T39" s="21">
        <v>881.6</v>
      </c>
      <c r="U39" s="21">
        <v>717.75</v>
      </c>
      <c r="V39" s="21">
        <v>666.25</v>
      </c>
      <c r="W39" s="21">
        <v>655.36</v>
      </c>
      <c r="X39" s="21">
        <v>646.30999999999995</v>
      </c>
      <c r="Y39" s="21">
        <v>523.99</v>
      </c>
      <c r="Z39" s="21">
        <v>609.22</v>
      </c>
      <c r="AA39" s="21">
        <v>591.83000000000004</v>
      </c>
      <c r="AC39" s="22" t="s">
        <v>753</v>
      </c>
      <c r="AD39" s="21">
        <v>8756.4500000000007</v>
      </c>
      <c r="AE39" s="21">
        <v>1954.84</v>
      </c>
      <c r="AF39" s="21">
        <v>3651.33</v>
      </c>
    </row>
    <row r="40" spans="1:32" x14ac:dyDescent="0.35">
      <c r="A40" s="13" t="s">
        <v>789</v>
      </c>
      <c r="B40" s="14">
        <v>203.61</v>
      </c>
      <c r="P40" s="20" t="s">
        <v>899</v>
      </c>
      <c r="Q40" s="21">
        <v>13884.92</v>
      </c>
      <c r="R40" s="21">
        <v>13069.429999999998</v>
      </c>
      <c r="S40" s="21">
        <v>11431.95</v>
      </c>
      <c r="T40" s="21">
        <v>8526.39</v>
      </c>
      <c r="U40" s="21">
        <v>7487.16</v>
      </c>
      <c r="V40" s="21">
        <v>6565.6600000000008</v>
      </c>
      <c r="W40" s="21">
        <v>6324.27</v>
      </c>
      <c r="X40" s="21">
        <v>6458.0800000000008</v>
      </c>
      <c r="Y40" s="21">
        <v>6190.6599999999989</v>
      </c>
      <c r="Z40" s="21">
        <v>6199.5700000000006</v>
      </c>
      <c r="AA40" s="21">
        <v>6011.09</v>
      </c>
      <c r="AC40" s="20" t="s">
        <v>899</v>
      </c>
      <c r="AD40" s="21"/>
      <c r="AE40" s="21"/>
      <c r="AF40" s="21"/>
    </row>
    <row r="41" spans="1:32" x14ac:dyDescent="0.35">
      <c r="A41" s="13" t="s">
        <v>839</v>
      </c>
      <c r="B41" s="14">
        <v>195.34</v>
      </c>
      <c r="P41" s="22" t="s">
        <v>754</v>
      </c>
      <c r="Q41" s="21">
        <v>1410.19</v>
      </c>
      <c r="R41" s="21">
        <v>1325.34</v>
      </c>
      <c r="S41" s="21">
        <v>1150.27</v>
      </c>
      <c r="T41" s="21">
        <v>877.31</v>
      </c>
      <c r="U41" s="21">
        <v>730.42</v>
      </c>
      <c r="V41" s="21">
        <v>663.83</v>
      </c>
      <c r="W41" s="21">
        <v>664.93</v>
      </c>
      <c r="X41" s="21">
        <v>641.77</v>
      </c>
      <c r="Y41" s="21">
        <v>518.23</v>
      </c>
      <c r="Z41" s="21">
        <v>617.80999999999995</v>
      </c>
      <c r="AA41" s="21">
        <v>595.11</v>
      </c>
      <c r="AC41" s="22" t="s">
        <v>754</v>
      </c>
      <c r="AD41" s="21">
        <v>8775.07</v>
      </c>
      <c r="AE41" s="21">
        <v>1925.15</v>
      </c>
      <c r="AF41" s="21">
        <v>3680.9</v>
      </c>
    </row>
    <row r="42" spans="1:32" x14ac:dyDescent="0.35">
      <c r="A42" s="13" t="s">
        <v>809</v>
      </c>
      <c r="B42" s="14">
        <v>192.26</v>
      </c>
      <c r="P42" s="22" t="s">
        <v>755</v>
      </c>
      <c r="Q42" s="21">
        <v>1399.82</v>
      </c>
      <c r="R42" s="21">
        <v>1338.1</v>
      </c>
      <c r="S42" s="21">
        <v>1183.1600000000001</v>
      </c>
      <c r="T42" s="21">
        <v>874.25</v>
      </c>
      <c r="U42" s="21">
        <v>735.49</v>
      </c>
      <c r="V42" s="21">
        <v>664.31</v>
      </c>
      <c r="W42" s="21">
        <v>651.53</v>
      </c>
      <c r="X42" s="21">
        <v>641.77</v>
      </c>
      <c r="Y42" s="21">
        <v>523.67999999999995</v>
      </c>
      <c r="Z42" s="21">
        <v>612.52</v>
      </c>
      <c r="AA42" s="21">
        <v>598.39</v>
      </c>
      <c r="AC42" s="22" t="s">
        <v>755</v>
      </c>
      <c r="AD42" s="21">
        <v>8787.48</v>
      </c>
      <c r="AE42" s="21">
        <v>1949.9</v>
      </c>
      <c r="AF42" s="21">
        <v>3666.11</v>
      </c>
    </row>
    <row r="43" spans="1:32" x14ac:dyDescent="0.35">
      <c r="A43" s="13" t="s">
        <v>18</v>
      </c>
      <c r="B43" s="14">
        <v>191.52</v>
      </c>
      <c r="P43" s="22" t="s">
        <v>756</v>
      </c>
      <c r="Q43" s="21">
        <v>1390.31</v>
      </c>
      <c r="R43" s="21">
        <v>1331.72</v>
      </c>
      <c r="S43" s="21">
        <v>1181.01</v>
      </c>
      <c r="T43" s="21">
        <v>870.58</v>
      </c>
      <c r="U43" s="21">
        <v>740.56</v>
      </c>
      <c r="V43" s="21">
        <v>662.38</v>
      </c>
      <c r="W43" s="21">
        <v>639.66</v>
      </c>
      <c r="X43" s="21">
        <v>648.33000000000004</v>
      </c>
      <c r="Y43" s="21">
        <v>546.99</v>
      </c>
      <c r="Z43" s="21">
        <v>604.59</v>
      </c>
      <c r="AA43" s="21">
        <v>599.79999999999995</v>
      </c>
      <c r="AC43" s="22" t="s">
        <v>756</v>
      </c>
      <c r="AD43" s="21">
        <v>8768.8700000000008</v>
      </c>
      <c r="AE43" s="21">
        <v>1935.05</v>
      </c>
      <c r="AF43" s="21">
        <v>3699.9</v>
      </c>
    </row>
    <row r="44" spans="1:32" x14ac:dyDescent="0.35">
      <c r="A44" s="13" t="s">
        <v>820</v>
      </c>
      <c r="B44" s="14">
        <v>191.38</v>
      </c>
      <c r="P44" s="22" t="s">
        <v>745</v>
      </c>
      <c r="Q44" s="21">
        <v>1387.71</v>
      </c>
      <c r="R44" s="21">
        <v>1323.52</v>
      </c>
      <c r="S44" s="21">
        <v>1140.98</v>
      </c>
      <c r="T44" s="21">
        <v>863.84</v>
      </c>
      <c r="U44" s="21">
        <v>746.48</v>
      </c>
      <c r="V44" s="21">
        <v>664.31</v>
      </c>
      <c r="W44" s="21">
        <v>633.91999999999996</v>
      </c>
      <c r="X44" s="21">
        <v>646.30999999999995</v>
      </c>
      <c r="Y44" s="21">
        <v>581.79999999999995</v>
      </c>
      <c r="Z44" s="21">
        <v>606.91</v>
      </c>
      <c r="AA44" s="21">
        <v>601.66999999999996</v>
      </c>
      <c r="AC44" s="22" t="s">
        <v>745</v>
      </c>
      <c r="AD44" s="21">
        <v>8775.07</v>
      </c>
      <c r="AE44" s="21">
        <v>1889.27</v>
      </c>
      <c r="AF44" s="21">
        <v>3754.81</v>
      </c>
    </row>
    <row r="45" spans="1:32" x14ac:dyDescent="0.35">
      <c r="A45" s="13" t="s">
        <v>586</v>
      </c>
      <c r="B45" s="14">
        <v>190.7</v>
      </c>
      <c r="P45" s="22" t="s">
        <v>746</v>
      </c>
      <c r="Q45" s="21">
        <v>1373.88</v>
      </c>
      <c r="R45" s="21">
        <v>1308.04</v>
      </c>
      <c r="S45" s="21">
        <v>1118.0999999999999</v>
      </c>
      <c r="T45" s="21">
        <v>854.66</v>
      </c>
      <c r="U45" s="21">
        <v>749.01</v>
      </c>
      <c r="V45" s="21">
        <v>658.02</v>
      </c>
      <c r="W45" s="21">
        <v>623.20000000000005</v>
      </c>
      <c r="X45" s="21">
        <v>646.82000000000005</v>
      </c>
      <c r="Y45" s="21">
        <v>557.59</v>
      </c>
      <c r="Z45" s="21">
        <v>605.26</v>
      </c>
      <c r="AA45" s="21">
        <v>602.14</v>
      </c>
      <c r="AC45" s="22" t="s">
        <v>746</v>
      </c>
      <c r="AD45" s="21">
        <v>8725.42</v>
      </c>
      <c r="AE45" s="21">
        <v>1838.54</v>
      </c>
      <c r="AF45" s="21">
        <v>3697.79</v>
      </c>
    </row>
    <row r="46" spans="1:32" x14ac:dyDescent="0.35">
      <c r="A46" s="13" t="s">
        <v>870</v>
      </c>
      <c r="B46" s="14">
        <v>189.26</v>
      </c>
      <c r="P46" s="22" t="s">
        <v>747</v>
      </c>
      <c r="Q46" s="21">
        <v>1373.01</v>
      </c>
      <c r="R46" s="21">
        <v>1289.82</v>
      </c>
      <c r="S46" s="21">
        <v>1092.3699999999999</v>
      </c>
      <c r="T46" s="21">
        <v>844.25</v>
      </c>
      <c r="U46" s="21">
        <v>753.24</v>
      </c>
      <c r="V46" s="21">
        <v>652.69000000000005</v>
      </c>
      <c r="W46" s="21">
        <v>608.27</v>
      </c>
      <c r="X46" s="21">
        <v>645.29999999999995</v>
      </c>
      <c r="Y46" s="21">
        <v>586.95000000000005</v>
      </c>
      <c r="Z46" s="21">
        <v>611.86</v>
      </c>
      <c r="AA46" s="21">
        <v>599.79999999999995</v>
      </c>
      <c r="AC46" s="22" t="s">
        <v>747</v>
      </c>
      <c r="AD46" s="21">
        <v>8681.98</v>
      </c>
      <c r="AE46" s="21">
        <v>1808.85</v>
      </c>
      <c r="AF46" s="21">
        <v>3718.91</v>
      </c>
    </row>
    <row r="47" spans="1:32" x14ac:dyDescent="0.35">
      <c r="A47" s="13" t="s">
        <v>461</v>
      </c>
      <c r="B47" s="14">
        <v>177.2</v>
      </c>
      <c r="P47" s="22" t="s">
        <v>748</v>
      </c>
      <c r="Q47" s="21">
        <v>1382.53</v>
      </c>
      <c r="R47" s="21">
        <v>1274.33</v>
      </c>
      <c r="S47" s="21">
        <v>1085.22</v>
      </c>
      <c r="T47" s="21">
        <v>836.29</v>
      </c>
      <c r="U47" s="21">
        <v>751.55</v>
      </c>
      <c r="V47" s="21">
        <v>648.34</v>
      </c>
      <c r="W47" s="21">
        <v>619.76</v>
      </c>
      <c r="X47" s="21">
        <v>648.84</v>
      </c>
      <c r="Y47" s="21">
        <v>856.36</v>
      </c>
      <c r="Z47" s="21">
        <v>618.79999999999995</v>
      </c>
      <c r="AA47" s="21">
        <v>602.61</v>
      </c>
      <c r="AC47" s="22" t="s">
        <v>748</v>
      </c>
      <c r="AD47" s="21">
        <v>8657.16</v>
      </c>
      <c r="AE47" s="21">
        <v>1798.95</v>
      </c>
      <c r="AF47" s="21">
        <v>4048.35</v>
      </c>
    </row>
    <row r="48" spans="1:32" x14ac:dyDescent="0.35">
      <c r="A48" s="13" t="s">
        <v>604</v>
      </c>
      <c r="B48" s="14">
        <v>175.86</v>
      </c>
      <c r="P48" s="22" t="s">
        <v>749</v>
      </c>
      <c r="Q48" s="21">
        <v>1390.31</v>
      </c>
      <c r="R48" s="21">
        <v>1280.71</v>
      </c>
      <c r="S48" s="21">
        <v>1126.68</v>
      </c>
      <c r="T48" s="21">
        <v>834.46</v>
      </c>
      <c r="U48" s="21">
        <v>758.73</v>
      </c>
      <c r="V48" s="21">
        <v>649.29999999999995</v>
      </c>
      <c r="W48" s="21">
        <v>624.73</v>
      </c>
      <c r="X48" s="21">
        <v>647.83000000000004</v>
      </c>
      <c r="Y48" s="21">
        <v>797.94</v>
      </c>
      <c r="Z48" s="21">
        <v>628.04999999999995</v>
      </c>
      <c r="AA48" s="21">
        <v>602.14</v>
      </c>
      <c r="AC48" s="22" t="s">
        <v>749</v>
      </c>
      <c r="AD48" s="21">
        <v>8681.98</v>
      </c>
      <c r="AE48" s="21">
        <v>1844.73</v>
      </c>
      <c r="AF48" s="21">
        <v>4018.79</v>
      </c>
    </row>
    <row r="49" spans="1:32" x14ac:dyDescent="0.35">
      <c r="A49" s="13" t="s">
        <v>437</v>
      </c>
      <c r="B49" s="14">
        <v>175.72</v>
      </c>
      <c r="D49" s="23" t="s">
        <v>913</v>
      </c>
      <c r="E49" s="24"/>
      <c r="F49" s="25"/>
      <c r="P49" s="22" t="s">
        <v>750</v>
      </c>
      <c r="Q49" s="21">
        <v>1386.85</v>
      </c>
      <c r="R49" s="21">
        <v>1302.57</v>
      </c>
      <c r="S49" s="21">
        <v>1170.29</v>
      </c>
      <c r="T49" s="21">
        <v>834.46</v>
      </c>
      <c r="U49" s="21">
        <v>760.42</v>
      </c>
      <c r="V49" s="21">
        <v>650.27</v>
      </c>
      <c r="W49" s="21">
        <v>630.09</v>
      </c>
      <c r="X49" s="21">
        <v>646.30999999999995</v>
      </c>
      <c r="Y49" s="21">
        <v>600.87</v>
      </c>
      <c r="Z49" s="21">
        <v>641.6</v>
      </c>
      <c r="AA49" s="21">
        <v>605.41999999999996</v>
      </c>
      <c r="AC49" s="22" t="s">
        <v>750</v>
      </c>
      <c r="AD49" s="21">
        <v>8713.01</v>
      </c>
      <c r="AE49" s="21">
        <v>1894.22</v>
      </c>
      <c r="AF49" s="21">
        <v>3877.3</v>
      </c>
    </row>
    <row r="50" spans="1:32" x14ac:dyDescent="0.35">
      <c r="A50" s="13" t="s">
        <v>737</v>
      </c>
      <c r="B50" s="14">
        <v>175.39</v>
      </c>
      <c r="D50" s="26" t="s">
        <v>914</v>
      </c>
      <c r="E50" s="27" t="s">
        <v>917</v>
      </c>
      <c r="F50" s="28"/>
      <c r="P50" s="22" t="s">
        <v>751</v>
      </c>
      <c r="Q50" s="21">
        <v>1390.31</v>
      </c>
      <c r="R50" s="21">
        <v>1295.28</v>
      </c>
      <c r="S50" s="21">
        <v>1183.8699999999999</v>
      </c>
      <c r="T50" s="21">
        <v>836.29</v>
      </c>
      <c r="U50" s="21">
        <v>761.26</v>
      </c>
      <c r="V50" s="21">
        <v>652.21</v>
      </c>
      <c r="W50" s="21">
        <v>628.17999999999995</v>
      </c>
      <c r="X50" s="21">
        <v>644.79999999999995</v>
      </c>
      <c r="Y50" s="21">
        <v>620.25</v>
      </c>
      <c r="Z50" s="21">
        <v>652.16999999999996</v>
      </c>
      <c r="AA50" s="21">
        <v>604.01</v>
      </c>
      <c r="AC50" s="22" t="s">
        <v>751</v>
      </c>
      <c r="AD50" s="21">
        <v>8713.01</v>
      </c>
      <c r="AE50" s="21">
        <v>1923.91</v>
      </c>
      <c r="AF50" s="21">
        <v>3913.2</v>
      </c>
    </row>
    <row r="51" spans="1:32" x14ac:dyDescent="0.35">
      <c r="A51" s="13" t="s">
        <v>246</v>
      </c>
      <c r="B51" s="14">
        <v>175.07</v>
      </c>
      <c r="D51" s="26" t="s">
        <v>915</v>
      </c>
      <c r="E51" s="27" t="s">
        <v>918</v>
      </c>
      <c r="F51" s="28"/>
      <c r="P51" s="20" t="s">
        <v>782</v>
      </c>
      <c r="Q51" s="21">
        <v>31013.019999999997</v>
      </c>
      <c r="R51" s="21">
        <v>29410.769999999997</v>
      </c>
      <c r="S51" s="21">
        <v>25857.899999999994</v>
      </c>
      <c r="T51" s="21">
        <v>19153.919999999998</v>
      </c>
      <c r="U51" s="21">
        <v>15798.939999999999</v>
      </c>
      <c r="V51" s="21">
        <v>14931.09</v>
      </c>
      <c r="W51" s="21">
        <v>14231.03</v>
      </c>
      <c r="X51" s="21">
        <v>14159.799999999997</v>
      </c>
      <c r="Y51" s="21">
        <v>13623.650000000003</v>
      </c>
      <c r="Z51" s="21">
        <v>13097.9</v>
      </c>
      <c r="AA51" s="21">
        <v>13032.459999999997</v>
      </c>
      <c r="AC51" s="20" t="s">
        <v>782</v>
      </c>
      <c r="AD51" s="21">
        <v>193082.58000000007</v>
      </c>
      <c r="AE51" s="21">
        <v>41850.970000000008</v>
      </c>
      <c r="AF51" s="21">
        <v>82512.91</v>
      </c>
    </row>
    <row r="52" spans="1:32" x14ac:dyDescent="0.35">
      <c r="A52" s="13" t="s">
        <v>173</v>
      </c>
      <c r="B52" s="14">
        <v>174.84</v>
      </c>
      <c r="D52" s="29" t="s">
        <v>916</v>
      </c>
      <c r="E52" s="30" t="s">
        <v>919</v>
      </c>
      <c r="F52" s="28"/>
    </row>
    <row r="53" spans="1:32" x14ac:dyDescent="0.35">
      <c r="A53" s="13" t="s">
        <v>627</v>
      </c>
      <c r="B53" s="14">
        <v>174.29</v>
      </c>
    </row>
    <row r="54" spans="1:32" x14ac:dyDescent="0.35">
      <c r="A54" s="13" t="s">
        <v>325</v>
      </c>
      <c r="B54" s="14">
        <v>167.02</v>
      </c>
    </row>
    <row r="55" spans="1:32" x14ac:dyDescent="0.35">
      <c r="A55" s="13" t="s">
        <v>832</v>
      </c>
      <c r="B55" s="14">
        <v>166.39</v>
      </c>
    </row>
    <row r="56" spans="1:32" x14ac:dyDescent="0.35">
      <c r="A56" s="13" t="s">
        <v>740</v>
      </c>
      <c r="B56" s="14">
        <v>162.72999999999999</v>
      </c>
    </row>
    <row r="57" spans="1:32" x14ac:dyDescent="0.35">
      <c r="A57" s="13" t="s">
        <v>599</v>
      </c>
      <c r="B57" s="14">
        <v>157.09</v>
      </c>
    </row>
    <row r="58" spans="1:32" x14ac:dyDescent="0.35">
      <c r="A58" s="13" t="s">
        <v>394</v>
      </c>
      <c r="B58" s="14">
        <v>154.9</v>
      </c>
    </row>
    <row r="59" spans="1:32" x14ac:dyDescent="0.35">
      <c r="A59" s="13" t="s">
        <v>813</v>
      </c>
      <c r="B59" s="14">
        <v>153.41999999999999</v>
      </c>
    </row>
    <row r="60" spans="1:32" x14ac:dyDescent="0.35">
      <c r="A60" s="13" t="s">
        <v>19</v>
      </c>
      <c r="B60" s="14">
        <v>151.94999999999999</v>
      </c>
    </row>
    <row r="61" spans="1:32" x14ac:dyDescent="0.35">
      <c r="A61" s="13" t="s">
        <v>867</v>
      </c>
      <c r="B61" s="14">
        <v>151.01</v>
      </c>
    </row>
    <row r="62" spans="1:32" x14ac:dyDescent="0.35">
      <c r="A62" s="13" t="s">
        <v>198</v>
      </c>
      <c r="B62" s="14">
        <v>148.5</v>
      </c>
    </row>
    <row r="63" spans="1:32" x14ac:dyDescent="0.35">
      <c r="A63" s="13" t="s">
        <v>392</v>
      </c>
      <c r="B63" s="14">
        <v>148.11000000000001</v>
      </c>
    </row>
    <row r="64" spans="1:32" x14ac:dyDescent="0.35">
      <c r="A64" s="13" t="s">
        <v>391</v>
      </c>
      <c r="B64" s="14">
        <v>142.96</v>
      </c>
    </row>
    <row r="65" spans="1:2" x14ac:dyDescent="0.35">
      <c r="A65" s="13" t="s">
        <v>327</v>
      </c>
      <c r="B65" s="14">
        <v>137.65</v>
      </c>
    </row>
    <row r="66" spans="1:2" x14ac:dyDescent="0.35">
      <c r="A66" s="13" t="s">
        <v>400</v>
      </c>
      <c r="B66" s="14">
        <v>133.91999999999999</v>
      </c>
    </row>
    <row r="67" spans="1:2" x14ac:dyDescent="0.35">
      <c r="A67" s="13" t="s">
        <v>322</v>
      </c>
      <c r="B67" s="14">
        <v>131.46</v>
      </c>
    </row>
    <row r="68" spans="1:2" x14ac:dyDescent="0.35">
      <c r="A68" s="13" t="s">
        <v>462</v>
      </c>
      <c r="B68" s="14">
        <v>131.12</v>
      </c>
    </row>
    <row r="69" spans="1:2" x14ac:dyDescent="0.35">
      <c r="A69" s="13" t="s">
        <v>140</v>
      </c>
      <c r="B69" s="14">
        <v>130.03</v>
      </c>
    </row>
    <row r="70" spans="1:2" x14ac:dyDescent="0.35">
      <c r="A70" s="13" t="s">
        <v>150</v>
      </c>
      <c r="B70" s="14">
        <v>130.02000000000001</v>
      </c>
    </row>
    <row r="71" spans="1:2" x14ac:dyDescent="0.35">
      <c r="A71" s="13" t="s">
        <v>856</v>
      </c>
      <c r="B71" s="14">
        <v>128.86000000000001</v>
      </c>
    </row>
    <row r="72" spans="1:2" x14ac:dyDescent="0.35">
      <c r="A72" s="13" t="s">
        <v>458</v>
      </c>
      <c r="B72" s="14">
        <v>126.17</v>
      </c>
    </row>
    <row r="73" spans="1:2" x14ac:dyDescent="0.35">
      <c r="A73" s="13" t="s">
        <v>247</v>
      </c>
      <c r="B73" s="14">
        <v>124.14</v>
      </c>
    </row>
    <row r="74" spans="1:2" x14ac:dyDescent="0.35">
      <c r="A74" s="13" t="s">
        <v>821</v>
      </c>
      <c r="B74" s="14">
        <v>123</v>
      </c>
    </row>
    <row r="75" spans="1:2" x14ac:dyDescent="0.35">
      <c r="A75" s="13" t="s">
        <v>397</v>
      </c>
      <c r="B75" s="14">
        <v>121.65</v>
      </c>
    </row>
    <row r="76" spans="1:2" x14ac:dyDescent="0.35">
      <c r="A76" s="13" t="s">
        <v>31</v>
      </c>
      <c r="B76" s="14">
        <v>119.43</v>
      </c>
    </row>
    <row r="77" spans="1:2" x14ac:dyDescent="0.35">
      <c r="A77" s="13" t="s">
        <v>108</v>
      </c>
      <c r="B77" s="14">
        <v>119.16</v>
      </c>
    </row>
    <row r="78" spans="1:2" x14ac:dyDescent="0.35">
      <c r="A78" s="13" t="s">
        <v>20</v>
      </c>
      <c r="B78" s="14">
        <v>117.62</v>
      </c>
    </row>
    <row r="79" spans="1:2" x14ac:dyDescent="0.35">
      <c r="A79" s="13" t="s">
        <v>816</v>
      </c>
      <c r="B79" s="14">
        <v>117.49</v>
      </c>
    </row>
    <row r="80" spans="1:2" x14ac:dyDescent="0.35">
      <c r="A80" s="13" t="s">
        <v>251</v>
      </c>
      <c r="B80" s="14">
        <v>115.77</v>
      </c>
    </row>
    <row r="81" spans="1:2" x14ac:dyDescent="0.35">
      <c r="A81" s="13" t="s">
        <v>495</v>
      </c>
      <c r="B81" s="14">
        <v>115.15</v>
      </c>
    </row>
    <row r="82" spans="1:2" x14ac:dyDescent="0.35">
      <c r="A82" s="13" t="s">
        <v>641</v>
      </c>
      <c r="B82" s="14">
        <v>115.15</v>
      </c>
    </row>
    <row r="83" spans="1:2" x14ac:dyDescent="0.35">
      <c r="A83" s="13" t="s">
        <v>826</v>
      </c>
      <c r="B83" s="14">
        <v>115.08</v>
      </c>
    </row>
    <row r="84" spans="1:2" x14ac:dyDescent="0.35">
      <c r="A84" s="13" t="s">
        <v>171</v>
      </c>
      <c r="B84" s="14">
        <v>113.13</v>
      </c>
    </row>
    <row r="85" spans="1:2" x14ac:dyDescent="0.35">
      <c r="A85" s="13" t="s">
        <v>831</v>
      </c>
      <c r="B85" s="14">
        <v>111.56</v>
      </c>
    </row>
    <row r="86" spans="1:2" x14ac:dyDescent="0.35">
      <c r="A86" s="13" t="s">
        <v>883</v>
      </c>
      <c r="B86" s="14">
        <v>111.56</v>
      </c>
    </row>
    <row r="87" spans="1:2" x14ac:dyDescent="0.35">
      <c r="A87" s="13" t="s">
        <v>817</v>
      </c>
      <c r="B87" s="14">
        <v>111.29</v>
      </c>
    </row>
    <row r="88" spans="1:2" x14ac:dyDescent="0.35">
      <c r="A88" s="13" t="s">
        <v>729</v>
      </c>
      <c r="B88" s="14">
        <v>110.37</v>
      </c>
    </row>
    <row r="89" spans="1:2" x14ac:dyDescent="0.35">
      <c r="A89" s="13" t="s">
        <v>797</v>
      </c>
      <c r="B89" s="14">
        <v>106.11</v>
      </c>
    </row>
    <row r="90" spans="1:2" x14ac:dyDescent="0.35">
      <c r="A90" s="13" t="s">
        <v>242</v>
      </c>
      <c r="B90" s="14">
        <v>105.4</v>
      </c>
    </row>
    <row r="91" spans="1:2" x14ac:dyDescent="0.35">
      <c r="A91" s="13" t="s">
        <v>875</v>
      </c>
      <c r="B91" s="14">
        <v>103.61</v>
      </c>
    </row>
    <row r="92" spans="1:2" x14ac:dyDescent="0.35">
      <c r="A92" s="13" t="s">
        <v>874</v>
      </c>
      <c r="B92" s="14">
        <v>102.27</v>
      </c>
    </row>
    <row r="93" spans="1:2" x14ac:dyDescent="0.35">
      <c r="A93" s="13" t="s">
        <v>90</v>
      </c>
      <c r="B93" s="14">
        <v>101.62</v>
      </c>
    </row>
    <row r="94" spans="1:2" x14ac:dyDescent="0.35">
      <c r="A94" s="13" t="s">
        <v>317</v>
      </c>
      <c r="B94" s="14">
        <v>100.05</v>
      </c>
    </row>
    <row r="95" spans="1:2" x14ac:dyDescent="0.35">
      <c r="A95" s="13" t="s">
        <v>431</v>
      </c>
      <c r="B95" s="14">
        <v>98</v>
      </c>
    </row>
    <row r="96" spans="1:2" x14ac:dyDescent="0.35">
      <c r="A96" s="13" t="s">
        <v>473</v>
      </c>
      <c r="B96" s="14">
        <v>94.77</v>
      </c>
    </row>
    <row r="97" spans="1:2" x14ac:dyDescent="0.35">
      <c r="A97" s="13" t="s">
        <v>105</v>
      </c>
      <c r="B97" s="14">
        <v>93.13</v>
      </c>
    </row>
    <row r="98" spans="1:2" x14ac:dyDescent="0.35">
      <c r="A98" s="13" t="s">
        <v>529</v>
      </c>
      <c r="B98" s="14">
        <v>93.13</v>
      </c>
    </row>
    <row r="99" spans="1:2" x14ac:dyDescent="0.35">
      <c r="A99" s="13" t="s">
        <v>172</v>
      </c>
      <c r="B99" s="14">
        <v>92.78</v>
      </c>
    </row>
    <row r="100" spans="1:2" x14ac:dyDescent="0.35">
      <c r="A100" s="13" t="s">
        <v>611</v>
      </c>
      <c r="B100" s="14">
        <v>92.78</v>
      </c>
    </row>
    <row r="101" spans="1:2" x14ac:dyDescent="0.35">
      <c r="A101" s="13" t="s">
        <v>841</v>
      </c>
      <c r="B101" s="14">
        <v>89.65</v>
      </c>
    </row>
    <row r="102" spans="1:2" x14ac:dyDescent="0.35">
      <c r="A102" s="13" t="s">
        <v>30</v>
      </c>
      <c r="B102" s="14">
        <v>89.07</v>
      </c>
    </row>
    <row r="103" spans="1:2" x14ac:dyDescent="0.35">
      <c r="A103" s="13" t="s">
        <v>692</v>
      </c>
      <c r="B103" s="14">
        <v>88.18</v>
      </c>
    </row>
    <row r="104" spans="1:2" x14ac:dyDescent="0.35">
      <c r="A104" s="13" t="s">
        <v>36</v>
      </c>
      <c r="B104" s="14">
        <v>87.99</v>
      </c>
    </row>
    <row r="105" spans="1:2" x14ac:dyDescent="0.35">
      <c r="A105" s="13" t="s">
        <v>160</v>
      </c>
      <c r="B105" s="14">
        <v>87</v>
      </c>
    </row>
    <row r="106" spans="1:2" x14ac:dyDescent="0.35">
      <c r="A106" s="13" t="s">
        <v>850</v>
      </c>
      <c r="B106" s="14">
        <v>84.27</v>
      </c>
    </row>
    <row r="107" spans="1:2" x14ac:dyDescent="0.35">
      <c r="A107" s="13" t="s">
        <v>851</v>
      </c>
      <c r="B107" s="14">
        <v>84.27</v>
      </c>
    </row>
    <row r="108" spans="1:2" x14ac:dyDescent="0.35">
      <c r="A108" s="13" t="s">
        <v>163</v>
      </c>
      <c r="B108" s="14">
        <v>82.68</v>
      </c>
    </row>
    <row r="109" spans="1:2" x14ac:dyDescent="0.35">
      <c r="A109" s="13" t="s">
        <v>502</v>
      </c>
      <c r="B109" s="14">
        <v>82.15</v>
      </c>
    </row>
    <row r="110" spans="1:2" x14ac:dyDescent="0.35">
      <c r="A110" s="13" t="s">
        <v>111</v>
      </c>
      <c r="B110" s="14">
        <v>81.400000000000006</v>
      </c>
    </row>
    <row r="111" spans="1:2" x14ac:dyDescent="0.35">
      <c r="A111" s="13" t="s">
        <v>615</v>
      </c>
      <c r="B111" s="14">
        <v>80.45</v>
      </c>
    </row>
    <row r="112" spans="1:2" x14ac:dyDescent="0.35">
      <c r="A112" s="13" t="s">
        <v>430</v>
      </c>
      <c r="B112" s="14">
        <v>79.680000000000007</v>
      </c>
    </row>
    <row r="113" spans="1:2" x14ac:dyDescent="0.35">
      <c r="A113" s="13" t="s">
        <v>553</v>
      </c>
      <c r="B113" s="14">
        <v>79.650000000000006</v>
      </c>
    </row>
    <row r="114" spans="1:2" x14ac:dyDescent="0.35">
      <c r="A114" s="13" t="s">
        <v>161</v>
      </c>
      <c r="B114" s="14">
        <v>79.52</v>
      </c>
    </row>
    <row r="115" spans="1:2" x14ac:dyDescent="0.35">
      <c r="A115" s="13" t="s">
        <v>591</v>
      </c>
      <c r="B115" s="14">
        <v>77.569999999999993</v>
      </c>
    </row>
    <row r="116" spans="1:2" x14ac:dyDescent="0.35">
      <c r="A116" s="13" t="s">
        <v>818</v>
      </c>
      <c r="B116" s="14">
        <v>77.53</v>
      </c>
    </row>
    <row r="117" spans="1:2" x14ac:dyDescent="0.35">
      <c r="A117" s="13" t="s">
        <v>393</v>
      </c>
      <c r="B117" s="14">
        <v>75.16</v>
      </c>
    </row>
    <row r="118" spans="1:2" x14ac:dyDescent="0.35">
      <c r="A118" s="13" t="s">
        <v>253</v>
      </c>
      <c r="B118" s="14">
        <v>75.05</v>
      </c>
    </row>
    <row r="119" spans="1:2" x14ac:dyDescent="0.35">
      <c r="A119" s="13" t="s">
        <v>530</v>
      </c>
      <c r="B119" s="14">
        <v>74.2</v>
      </c>
    </row>
    <row r="120" spans="1:2" x14ac:dyDescent="0.35">
      <c r="A120" s="13" t="s">
        <v>798</v>
      </c>
      <c r="B120" s="14">
        <v>70.290000000000006</v>
      </c>
    </row>
    <row r="121" spans="1:2" x14ac:dyDescent="0.35">
      <c r="A121" s="13" t="s">
        <v>561</v>
      </c>
      <c r="B121" s="14">
        <v>69.94</v>
      </c>
    </row>
    <row r="122" spans="1:2" x14ac:dyDescent="0.35">
      <c r="A122" s="13" t="s">
        <v>793</v>
      </c>
      <c r="B122" s="14">
        <v>69.489999999999995</v>
      </c>
    </row>
    <row r="123" spans="1:2" x14ac:dyDescent="0.35">
      <c r="A123" s="13" t="s">
        <v>188</v>
      </c>
      <c r="B123" s="14">
        <v>69.489999999999995</v>
      </c>
    </row>
    <row r="124" spans="1:2" x14ac:dyDescent="0.35">
      <c r="A124" s="13" t="s">
        <v>316</v>
      </c>
      <c r="B124" s="14">
        <v>68.61</v>
      </c>
    </row>
    <row r="125" spans="1:2" x14ac:dyDescent="0.35">
      <c r="A125" s="13" t="s">
        <v>366</v>
      </c>
      <c r="B125" s="14">
        <v>68.25</v>
      </c>
    </row>
    <row r="126" spans="1:2" x14ac:dyDescent="0.35">
      <c r="A126" s="13" t="s">
        <v>844</v>
      </c>
      <c r="B126" s="14">
        <v>68.13</v>
      </c>
    </row>
    <row r="127" spans="1:2" x14ac:dyDescent="0.35">
      <c r="A127" s="13" t="s">
        <v>315</v>
      </c>
      <c r="B127" s="14">
        <v>67.790000000000006</v>
      </c>
    </row>
    <row r="128" spans="1:2" x14ac:dyDescent="0.35">
      <c r="A128" s="13" t="s">
        <v>846</v>
      </c>
      <c r="B128" s="14">
        <v>66.819999999999993</v>
      </c>
    </row>
    <row r="129" spans="1:2" x14ac:dyDescent="0.35">
      <c r="A129" s="13" t="s">
        <v>650</v>
      </c>
      <c r="B129" s="14">
        <v>64.63</v>
      </c>
    </row>
    <row r="130" spans="1:2" x14ac:dyDescent="0.35">
      <c r="A130" s="13" t="s">
        <v>32</v>
      </c>
      <c r="B130" s="14">
        <v>63.29</v>
      </c>
    </row>
    <row r="131" spans="1:2" x14ac:dyDescent="0.35">
      <c r="A131" s="13" t="s">
        <v>819</v>
      </c>
      <c r="B131" s="14">
        <v>63.23</v>
      </c>
    </row>
    <row r="132" spans="1:2" x14ac:dyDescent="0.35">
      <c r="A132" s="13" t="s">
        <v>106</v>
      </c>
      <c r="B132" s="14">
        <v>63.14</v>
      </c>
    </row>
    <row r="133" spans="1:2" x14ac:dyDescent="0.35">
      <c r="A133" s="13" t="s">
        <v>833</v>
      </c>
      <c r="B133" s="14">
        <v>61.91</v>
      </c>
    </row>
    <row r="134" spans="1:2" x14ac:dyDescent="0.35">
      <c r="A134" s="13" t="s">
        <v>113</v>
      </c>
      <c r="B134" s="14">
        <v>61.42</v>
      </c>
    </row>
    <row r="135" spans="1:2" x14ac:dyDescent="0.35">
      <c r="A135" s="13" t="s">
        <v>298</v>
      </c>
      <c r="B135" s="14">
        <v>61.39</v>
      </c>
    </row>
    <row r="136" spans="1:2" x14ac:dyDescent="0.35">
      <c r="A136" s="13" t="s">
        <v>824</v>
      </c>
      <c r="B136" s="14">
        <v>60.79</v>
      </c>
    </row>
    <row r="137" spans="1:2" x14ac:dyDescent="0.35">
      <c r="A137" s="13" t="s">
        <v>109</v>
      </c>
      <c r="B137" s="14">
        <v>60.32</v>
      </c>
    </row>
    <row r="138" spans="1:2" x14ac:dyDescent="0.35">
      <c r="A138" s="13" t="s">
        <v>262</v>
      </c>
      <c r="B138" s="14">
        <v>60.11</v>
      </c>
    </row>
    <row r="139" spans="1:2" x14ac:dyDescent="0.35">
      <c r="A139" s="13" t="s">
        <v>45</v>
      </c>
      <c r="B139" s="14">
        <v>59.77</v>
      </c>
    </row>
    <row r="140" spans="1:2" x14ac:dyDescent="0.35">
      <c r="A140" s="13" t="s">
        <v>806</v>
      </c>
      <c r="B140" s="14">
        <v>59.51</v>
      </c>
    </row>
    <row r="141" spans="1:2" x14ac:dyDescent="0.35">
      <c r="A141" s="13" t="s">
        <v>459</v>
      </c>
      <c r="B141" s="14">
        <v>58.16</v>
      </c>
    </row>
    <row r="142" spans="1:2" x14ac:dyDescent="0.35">
      <c r="A142" s="13" t="s">
        <v>447</v>
      </c>
      <c r="B142" s="14">
        <v>57.22</v>
      </c>
    </row>
    <row r="143" spans="1:2" x14ac:dyDescent="0.35">
      <c r="A143" s="13" t="s">
        <v>336</v>
      </c>
      <c r="B143" s="14">
        <v>57.08</v>
      </c>
    </row>
    <row r="144" spans="1:2" x14ac:dyDescent="0.35">
      <c r="A144" s="13" t="s">
        <v>840</v>
      </c>
      <c r="B144" s="14">
        <v>56.98</v>
      </c>
    </row>
    <row r="145" spans="1:2" x14ac:dyDescent="0.35">
      <c r="A145" s="13" t="s">
        <v>340</v>
      </c>
      <c r="B145" s="14">
        <v>56.97</v>
      </c>
    </row>
    <row r="146" spans="1:2" x14ac:dyDescent="0.35">
      <c r="A146" s="13" t="s">
        <v>248</v>
      </c>
      <c r="B146" s="14">
        <v>56.67</v>
      </c>
    </row>
    <row r="147" spans="1:2" x14ac:dyDescent="0.35">
      <c r="A147" s="13" t="s">
        <v>192</v>
      </c>
      <c r="B147" s="14">
        <v>55.8</v>
      </c>
    </row>
    <row r="148" spans="1:2" x14ac:dyDescent="0.35">
      <c r="A148" s="13" t="s">
        <v>662</v>
      </c>
      <c r="B148" s="14">
        <v>55.8</v>
      </c>
    </row>
    <row r="149" spans="1:2" x14ac:dyDescent="0.35">
      <c r="A149" s="13" t="s">
        <v>628</v>
      </c>
      <c r="B149" s="14">
        <v>55.53</v>
      </c>
    </row>
    <row r="150" spans="1:2" x14ac:dyDescent="0.35">
      <c r="A150" s="13" t="s">
        <v>78</v>
      </c>
      <c r="B150" s="14">
        <v>54.63</v>
      </c>
    </row>
    <row r="151" spans="1:2" x14ac:dyDescent="0.35">
      <c r="A151" s="13" t="s">
        <v>834</v>
      </c>
      <c r="B151" s="14">
        <v>53.76</v>
      </c>
    </row>
    <row r="152" spans="1:2" x14ac:dyDescent="0.35">
      <c r="A152" s="13" t="s">
        <v>119</v>
      </c>
      <c r="B152" s="14">
        <v>53.75</v>
      </c>
    </row>
    <row r="153" spans="1:2" x14ac:dyDescent="0.35">
      <c r="A153" s="13" t="s">
        <v>67</v>
      </c>
      <c r="B153" s="14">
        <v>53.37</v>
      </c>
    </row>
    <row r="154" spans="1:2" x14ac:dyDescent="0.35">
      <c r="A154" s="13" t="s">
        <v>185</v>
      </c>
      <c r="B154" s="14">
        <v>52.84</v>
      </c>
    </row>
    <row r="155" spans="1:2" x14ac:dyDescent="0.35">
      <c r="A155" s="13" t="s">
        <v>178</v>
      </c>
      <c r="B155" s="14">
        <v>52.39</v>
      </c>
    </row>
    <row r="156" spans="1:2" x14ac:dyDescent="0.35">
      <c r="A156" s="13" t="s">
        <v>613</v>
      </c>
      <c r="B156" s="14">
        <v>51.49</v>
      </c>
    </row>
    <row r="157" spans="1:2" x14ac:dyDescent="0.35">
      <c r="A157" s="13" t="s">
        <v>107</v>
      </c>
      <c r="B157" s="14">
        <v>51.24</v>
      </c>
    </row>
    <row r="158" spans="1:2" x14ac:dyDescent="0.35">
      <c r="A158" s="13" t="s">
        <v>346</v>
      </c>
      <c r="B158" s="14">
        <v>48.85</v>
      </c>
    </row>
    <row r="159" spans="1:2" x14ac:dyDescent="0.35">
      <c r="A159" s="13" t="s">
        <v>306</v>
      </c>
      <c r="B159" s="14">
        <v>48.04</v>
      </c>
    </row>
    <row r="160" spans="1:2" x14ac:dyDescent="0.35">
      <c r="A160" s="13" t="s">
        <v>877</v>
      </c>
      <c r="B160" s="14">
        <v>47.91</v>
      </c>
    </row>
    <row r="161" spans="1:2" x14ac:dyDescent="0.35">
      <c r="A161" s="13" t="s">
        <v>802</v>
      </c>
      <c r="B161" s="14">
        <v>47.87</v>
      </c>
    </row>
    <row r="162" spans="1:2" x14ac:dyDescent="0.35">
      <c r="A162" s="13" t="s">
        <v>535</v>
      </c>
      <c r="B162" s="14">
        <v>47.2</v>
      </c>
    </row>
    <row r="163" spans="1:2" x14ac:dyDescent="0.35">
      <c r="A163" s="13" t="s">
        <v>689</v>
      </c>
      <c r="B163" s="14">
        <v>47.2</v>
      </c>
    </row>
    <row r="164" spans="1:2" x14ac:dyDescent="0.35">
      <c r="A164" s="13" t="s">
        <v>842</v>
      </c>
      <c r="B164" s="14">
        <v>46.4</v>
      </c>
    </row>
    <row r="165" spans="1:2" x14ac:dyDescent="0.35">
      <c r="A165" s="13" t="s">
        <v>444</v>
      </c>
      <c r="B165" s="14">
        <v>46.26</v>
      </c>
    </row>
    <row r="166" spans="1:2" x14ac:dyDescent="0.35">
      <c r="A166" s="13" t="s">
        <v>796</v>
      </c>
      <c r="B166" s="14">
        <v>45.38</v>
      </c>
    </row>
    <row r="167" spans="1:2" x14ac:dyDescent="0.35">
      <c r="A167" s="13" t="s">
        <v>651</v>
      </c>
      <c r="B167" s="14">
        <v>45.25</v>
      </c>
    </row>
    <row r="168" spans="1:2" x14ac:dyDescent="0.35">
      <c r="A168" s="13" t="s">
        <v>608</v>
      </c>
      <c r="B168" s="14">
        <v>45.24</v>
      </c>
    </row>
    <row r="169" spans="1:2" x14ac:dyDescent="0.35">
      <c r="A169" s="13" t="s">
        <v>859</v>
      </c>
      <c r="B169" s="14">
        <v>45.14</v>
      </c>
    </row>
    <row r="170" spans="1:2" x14ac:dyDescent="0.35">
      <c r="A170" s="13" t="s">
        <v>174</v>
      </c>
      <c r="B170" s="14">
        <v>45.13</v>
      </c>
    </row>
    <row r="171" spans="1:2" x14ac:dyDescent="0.35">
      <c r="A171" s="13" t="s">
        <v>667</v>
      </c>
      <c r="B171" s="14">
        <v>44.69</v>
      </c>
    </row>
    <row r="172" spans="1:2" x14ac:dyDescent="0.35">
      <c r="A172" s="13" t="s">
        <v>588</v>
      </c>
      <c r="B172" s="14">
        <v>43.67</v>
      </c>
    </row>
    <row r="173" spans="1:2" x14ac:dyDescent="0.35">
      <c r="A173" s="13" t="s">
        <v>696</v>
      </c>
      <c r="B173" s="14">
        <v>43.63</v>
      </c>
    </row>
    <row r="174" spans="1:2" x14ac:dyDescent="0.35">
      <c r="A174" s="13" t="s">
        <v>79</v>
      </c>
      <c r="B174" s="14">
        <v>43.46</v>
      </c>
    </row>
    <row r="175" spans="1:2" x14ac:dyDescent="0.35">
      <c r="A175" s="13" t="s">
        <v>407</v>
      </c>
      <c r="B175" s="14">
        <v>43.3</v>
      </c>
    </row>
    <row r="176" spans="1:2" x14ac:dyDescent="0.35">
      <c r="A176" s="13" t="s">
        <v>329</v>
      </c>
      <c r="B176" s="14">
        <v>43.17</v>
      </c>
    </row>
    <row r="177" spans="1:2" x14ac:dyDescent="0.35">
      <c r="A177" s="13" t="s">
        <v>642</v>
      </c>
      <c r="B177" s="14">
        <v>42.36</v>
      </c>
    </row>
    <row r="178" spans="1:2" x14ac:dyDescent="0.35">
      <c r="A178" s="13" t="s">
        <v>455</v>
      </c>
      <c r="B178" s="14">
        <v>42.07</v>
      </c>
    </row>
    <row r="179" spans="1:2" x14ac:dyDescent="0.35">
      <c r="A179" s="13" t="s">
        <v>860</v>
      </c>
      <c r="B179" s="14">
        <v>41.95</v>
      </c>
    </row>
    <row r="180" spans="1:2" x14ac:dyDescent="0.35">
      <c r="A180" s="13" t="s">
        <v>593</v>
      </c>
      <c r="B180" s="14">
        <v>41.78</v>
      </c>
    </row>
    <row r="181" spans="1:2" x14ac:dyDescent="0.35">
      <c r="A181" s="13" t="s">
        <v>876</v>
      </c>
      <c r="B181" s="14">
        <v>41.24</v>
      </c>
    </row>
    <row r="182" spans="1:2" x14ac:dyDescent="0.35">
      <c r="A182" s="13" t="s">
        <v>33</v>
      </c>
      <c r="B182" s="14">
        <v>41.13</v>
      </c>
    </row>
    <row r="183" spans="1:2" x14ac:dyDescent="0.35">
      <c r="A183" s="13" t="s">
        <v>670</v>
      </c>
      <c r="B183" s="14">
        <v>41.11</v>
      </c>
    </row>
    <row r="184" spans="1:2" x14ac:dyDescent="0.35">
      <c r="A184" s="13" t="s">
        <v>153</v>
      </c>
      <c r="B184" s="14">
        <v>40.85</v>
      </c>
    </row>
    <row r="185" spans="1:2" x14ac:dyDescent="0.35">
      <c r="A185" s="13" t="s">
        <v>699</v>
      </c>
      <c r="B185" s="14">
        <v>40.85</v>
      </c>
    </row>
    <row r="186" spans="1:2" x14ac:dyDescent="0.35">
      <c r="A186" s="13" t="s">
        <v>815</v>
      </c>
      <c r="B186" s="14">
        <v>40.200000000000003</v>
      </c>
    </row>
    <row r="187" spans="1:2" x14ac:dyDescent="0.35">
      <c r="A187" s="13" t="s">
        <v>133</v>
      </c>
      <c r="B187" s="14">
        <v>39.700000000000003</v>
      </c>
    </row>
    <row r="188" spans="1:2" x14ac:dyDescent="0.35">
      <c r="A188" s="13" t="s">
        <v>837</v>
      </c>
      <c r="B188" s="14">
        <v>39.44</v>
      </c>
    </row>
    <row r="189" spans="1:2" x14ac:dyDescent="0.35">
      <c r="A189" s="13" t="s">
        <v>600</v>
      </c>
      <c r="B189" s="14">
        <v>39.409999999999997</v>
      </c>
    </row>
    <row r="190" spans="1:2" x14ac:dyDescent="0.35">
      <c r="A190" s="13" t="s">
        <v>320</v>
      </c>
      <c r="B190" s="14">
        <v>39.28</v>
      </c>
    </row>
    <row r="191" spans="1:2" x14ac:dyDescent="0.35">
      <c r="A191" s="13" t="s">
        <v>690</v>
      </c>
      <c r="B191" s="14">
        <v>38.770000000000003</v>
      </c>
    </row>
    <row r="192" spans="1:2" x14ac:dyDescent="0.35">
      <c r="A192" s="13" t="s">
        <v>868</v>
      </c>
      <c r="B192" s="14">
        <v>38.619999999999997</v>
      </c>
    </row>
    <row r="193" spans="1:2" x14ac:dyDescent="0.35">
      <c r="A193" s="13" t="s">
        <v>734</v>
      </c>
      <c r="B193" s="14">
        <v>38.29</v>
      </c>
    </row>
    <row r="194" spans="1:2" x14ac:dyDescent="0.35">
      <c r="A194" s="13" t="s">
        <v>43</v>
      </c>
      <c r="B194" s="14">
        <v>38.15</v>
      </c>
    </row>
    <row r="195" spans="1:2" x14ac:dyDescent="0.35">
      <c r="A195" s="13" t="s">
        <v>470</v>
      </c>
      <c r="B195" s="14">
        <v>38.1</v>
      </c>
    </row>
    <row r="196" spans="1:2" x14ac:dyDescent="0.35">
      <c r="A196" s="13" t="s">
        <v>872</v>
      </c>
      <c r="B196" s="14">
        <v>37.75</v>
      </c>
    </row>
    <row r="197" spans="1:2" x14ac:dyDescent="0.35">
      <c r="A197" s="13" t="s">
        <v>365</v>
      </c>
      <c r="B197" s="14">
        <v>36.99</v>
      </c>
    </row>
    <row r="198" spans="1:2" x14ac:dyDescent="0.35">
      <c r="A198" s="13" t="s">
        <v>620</v>
      </c>
      <c r="B198" s="14">
        <v>36.729999999999997</v>
      </c>
    </row>
    <row r="199" spans="1:2" x14ac:dyDescent="0.35">
      <c r="A199" s="13" t="s">
        <v>151</v>
      </c>
      <c r="B199" s="14">
        <v>36.549999999999997</v>
      </c>
    </row>
    <row r="200" spans="1:2" x14ac:dyDescent="0.35">
      <c r="A200" s="13" t="s">
        <v>880</v>
      </c>
      <c r="B200" s="14">
        <v>36.06</v>
      </c>
    </row>
    <row r="201" spans="1:2" x14ac:dyDescent="0.35">
      <c r="A201" s="13" t="s">
        <v>557</v>
      </c>
      <c r="B201" s="14">
        <v>35.67</v>
      </c>
    </row>
    <row r="202" spans="1:2" x14ac:dyDescent="0.35">
      <c r="A202" s="13" t="s">
        <v>457</v>
      </c>
      <c r="B202" s="14">
        <v>35.54</v>
      </c>
    </row>
    <row r="203" spans="1:2" x14ac:dyDescent="0.35">
      <c r="A203" s="13" t="s">
        <v>144</v>
      </c>
      <c r="B203" s="14">
        <v>35.450000000000003</v>
      </c>
    </row>
    <row r="204" spans="1:2" x14ac:dyDescent="0.35">
      <c r="A204" s="13" t="s">
        <v>605</v>
      </c>
      <c r="B204" s="14">
        <v>35.08</v>
      </c>
    </row>
    <row r="205" spans="1:2" x14ac:dyDescent="0.35">
      <c r="A205" s="13" t="s">
        <v>195</v>
      </c>
      <c r="B205" s="14">
        <v>34.74</v>
      </c>
    </row>
    <row r="206" spans="1:2" x14ac:dyDescent="0.35">
      <c r="A206" s="13" t="s">
        <v>849</v>
      </c>
      <c r="B206" s="14">
        <v>34.4</v>
      </c>
    </row>
    <row r="207" spans="1:2" x14ac:dyDescent="0.35">
      <c r="A207" s="13" t="s">
        <v>421</v>
      </c>
      <c r="B207" s="14">
        <v>34.36</v>
      </c>
    </row>
    <row r="208" spans="1:2" x14ac:dyDescent="0.35">
      <c r="A208" s="13" t="s">
        <v>5</v>
      </c>
      <c r="B208" s="14">
        <v>34.29</v>
      </c>
    </row>
    <row r="209" spans="1:2" x14ac:dyDescent="0.35">
      <c r="A209" s="13" t="s">
        <v>682</v>
      </c>
      <c r="B209" s="14">
        <v>34.18</v>
      </c>
    </row>
    <row r="210" spans="1:2" x14ac:dyDescent="0.35">
      <c r="A210" s="13" t="s">
        <v>865</v>
      </c>
      <c r="B210" s="14">
        <v>34.15</v>
      </c>
    </row>
    <row r="211" spans="1:2" x14ac:dyDescent="0.35">
      <c r="A211" s="13" t="s">
        <v>683</v>
      </c>
      <c r="B211" s="14">
        <v>34.08</v>
      </c>
    </row>
    <row r="212" spans="1:2" x14ac:dyDescent="0.35">
      <c r="A212" s="13" t="s">
        <v>814</v>
      </c>
      <c r="B212" s="14">
        <v>33.46</v>
      </c>
    </row>
    <row r="213" spans="1:2" x14ac:dyDescent="0.35">
      <c r="A213" s="13" t="s">
        <v>335</v>
      </c>
      <c r="B213" s="14">
        <v>33.369999999999997</v>
      </c>
    </row>
    <row r="214" spans="1:2" x14ac:dyDescent="0.35">
      <c r="A214" s="13" t="s">
        <v>100</v>
      </c>
      <c r="B214" s="14">
        <v>33.18</v>
      </c>
    </row>
    <row r="215" spans="1:2" x14ac:dyDescent="0.35">
      <c r="A215" s="13" t="s">
        <v>845</v>
      </c>
      <c r="B215" s="14">
        <v>32.4</v>
      </c>
    </row>
    <row r="216" spans="1:2" x14ac:dyDescent="0.35">
      <c r="A216" s="13" t="s">
        <v>587</v>
      </c>
      <c r="B216" s="14">
        <v>32.19</v>
      </c>
    </row>
    <row r="217" spans="1:2" x14ac:dyDescent="0.35">
      <c r="A217" s="13" t="s">
        <v>510</v>
      </c>
      <c r="B217" s="14">
        <v>32.159999999999997</v>
      </c>
    </row>
    <row r="218" spans="1:2" x14ac:dyDescent="0.35">
      <c r="A218" s="13" t="s">
        <v>406</v>
      </c>
      <c r="B218" s="14">
        <v>32.04</v>
      </c>
    </row>
    <row r="219" spans="1:2" x14ac:dyDescent="0.35">
      <c r="A219" s="13" t="s">
        <v>333</v>
      </c>
      <c r="B219" s="14">
        <v>31.61</v>
      </c>
    </row>
    <row r="220" spans="1:2" x14ac:dyDescent="0.35">
      <c r="A220" s="13" t="s">
        <v>686</v>
      </c>
      <c r="B220" s="14">
        <v>31.38</v>
      </c>
    </row>
    <row r="221" spans="1:2" x14ac:dyDescent="0.35">
      <c r="A221" s="13" t="s">
        <v>169</v>
      </c>
      <c r="B221" s="14">
        <v>30.73</v>
      </c>
    </row>
    <row r="222" spans="1:2" x14ac:dyDescent="0.35">
      <c r="A222" s="13" t="s">
        <v>853</v>
      </c>
      <c r="B222" s="14">
        <v>30.43</v>
      </c>
    </row>
    <row r="223" spans="1:2" x14ac:dyDescent="0.35">
      <c r="A223" s="13" t="s">
        <v>68</v>
      </c>
      <c r="B223" s="14">
        <v>30.4</v>
      </c>
    </row>
    <row r="224" spans="1:2" x14ac:dyDescent="0.35">
      <c r="A224" s="13" t="s">
        <v>794</v>
      </c>
      <c r="B224" s="14">
        <v>29.97</v>
      </c>
    </row>
    <row r="225" spans="1:2" x14ac:dyDescent="0.35">
      <c r="A225" s="13" t="s">
        <v>537</v>
      </c>
      <c r="B225" s="14">
        <v>29.72</v>
      </c>
    </row>
    <row r="226" spans="1:2" x14ac:dyDescent="0.35">
      <c r="A226" s="13" t="s">
        <v>245</v>
      </c>
      <c r="B226" s="14">
        <v>29.62</v>
      </c>
    </row>
    <row r="227" spans="1:2" x14ac:dyDescent="0.35">
      <c r="A227" s="13" t="s">
        <v>64</v>
      </c>
      <c r="B227" s="14">
        <v>29.41</v>
      </c>
    </row>
    <row r="228" spans="1:2" x14ac:dyDescent="0.35">
      <c r="A228" s="13" t="s">
        <v>49</v>
      </c>
      <c r="B228" s="14">
        <v>29.09</v>
      </c>
    </row>
    <row r="229" spans="1:2" x14ac:dyDescent="0.35">
      <c r="A229" s="13" t="s">
        <v>727</v>
      </c>
      <c r="B229" s="14">
        <v>28.99</v>
      </c>
    </row>
    <row r="230" spans="1:2" x14ac:dyDescent="0.35">
      <c r="A230" s="13" t="s">
        <v>177</v>
      </c>
      <c r="B230" s="14">
        <v>28.92</v>
      </c>
    </row>
    <row r="231" spans="1:2" x14ac:dyDescent="0.35">
      <c r="A231" s="13" t="s">
        <v>330</v>
      </c>
      <c r="B231" s="14">
        <v>28.67</v>
      </c>
    </row>
    <row r="232" spans="1:2" x14ac:dyDescent="0.35">
      <c r="A232" s="13" t="s">
        <v>52</v>
      </c>
      <c r="B232" s="14">
        <v>28.65</v>
      </c>
    </row>
    <row r="233" spans="1:2" x14ac:dyDescent="0.35">
      <c r="A233" s="13" t="s">
        <v>800</v>
      </c>
      <c r="B233" s="14">
        <v>28.57</v>
      </c>
    </row>
    <row r="234" spans="1:2" x14ac:dyDescent="0.35">
      <c r="A234" s="13" t="s">
        <v>237</v>
      </c>
      <c r="B234" s="14">
        <v>28.51</v>
      </c>
    </row>
    <row r="235" spans="1:2" x14ac:dyDescent="0.35">
      <c r="A235" s="13" t="s">
        <v>618</v>
      </c>
      <c r="B235" s="14">
        <v>27.95</v>
      </c>
    </row>
    <row r="236" spans="1:2" x14ac:dyDescent="0.35">
      <c r="A236" s="13" t="s">
        <v>520</v>
      </c>
      <c r="B236" s="14">
        <v>27.76</v>
      </c>
    </row>
    <row r="237" spans="1:2" x14ac:dyDescent="0.35">
      <c r="A237" s="13" t="s">
        <v>489</v>
      </c>
      <c r="B237" s="14">
        <v>27.69</v>
      </c>
    </row>
    <row r="238" spans="1:2" x14ac:dyDescent="0.35">
      <c r="A238" s="13" t="s">
        <v>353</v>
      </c>
      <c r="B238" s="14">
        <v>27.24</v>
      </c>
    </row>
    <row r="239" spans="1:2" x14ac:dyDescent="0.35">
      <c r="A239" s="13" t="s">
        <v>881</v>
      </c>
      <c r="B239" s="14">
        <v>27.24</v>
      </c>
    </row>
    <row r="240" spans="1:2" x14ac:dyDescent="0.35">
      <c r="A240" s="13" t="s">
        <v>619</v>
      </c>
      <c r="B240" s="14">
        <v>27.23</v>
      </c>
    </row>
    <row r="241" spans="1:2" x14ac:dyDescent="0.35">
      <c r="A241" s="13" t="s">
        <v>162</v>
      </c>
      <c r="B241" s="14">
        <v>26.23</v>
      </c>
    </row>
    <row r="242" spans="1:2" x14ac:dyDescent="0.35">
      <c r="A242" s="13" t="s">
        <v>855</v>
      </c>
      <c r="B242" s="14">
        <v>26.04</v>
      </c>
    </row>
    <row r="243" spans="1:2" x14ac:dyDescent="0.35">
      <c r="A243" s="13" t="s">
        <v>302</v>
      </c>
      <c r="B243" s="14">
        <v>25.96</v>
      </c>
    </row>
    <row r="244" spans="1:2" x14ac:dyDescent="0.35">
      <c r="A244" s="13" t="s">
        <v>705</v>
      </c>
      <c r="B244" s="14">
        <v>25.95</v>
      </c>
    </row>
    <row r="245" spans="1:2" x14ac:dyDescent="0.35">
      <c r="A245" s="13" t="s">
        <v>854</v>
      </c>
      <c r="B245" s="14">
        <v>25.68</v>
      </c>
    </row>
    <row r="246" spans="1:2" x14ac:dyDescent="0.35">
      <c r="A246" s="13" t="s">
        <v>852</v>
      </c>
      <c r="B246" s="14">
        <v>25.6</v>
      </c>
    </row>
    <row r="247" spans="1:2" x14ac:dyDescent="0.35">
      <c r="A247" s="13" t="s">
        <v>204</v>
      </c>
      <c r="B247" s="14">
        <v>25.43</v>
      </c>
    </row>
    <row r="248" spans="1:2" x14ac:dyDescent="0.35">
      <c r="A248" s="13" t="s">
        <v>116</v>
      </c>
      <c r="B248" s="14">
        <v>25.22</v>
      </c>
    </row>
    <row r="249" spans="1:2" x14ac:dyDescent="0.35">
      <c r="A249" s="13" t="s">
        <v>578</v>
      </c>
      <c r="B249" s="14">
        <v>25.19</v>
      </c>
    </row>
    <row r="250" spans="1:2" x14ac:dyDescent="0.35">
      <c r="A250" s="13" t="s">
        <v>671</v>
      </c>
      <c r="B250" s="14">
        <v>24.8</v>
      </c>
    </row>
    <row r="251" spans="1:2" x14ac:dyDescent="0.35">
      <c r="A251" s="13" t="s">
        <v>878</v>
      </c>
      <c r="B251" s="14">
        <v>24.75</v>
      </c>
    </row>
    <row r="252" spans="1:2" x14ac:dyDescent="0.35">
      <c r="A252" s="13" t="s">
        <v>700</v>
      </c>
      <c r="B252" s="14">
        <v>24.72</v>
      </c>
    </row>
    <row r="253" spans="1:2" x14ac:dyDescent="0.35">
      <c r="A253" s="13" t="s">
        <v>639</v>
      </c>
      <c r="B253" s="14">
        <v>24.62</v>
      </c>
    </row>
    <row r="254" spans="1:2" x14ac:dyDescent="0.35">
      <c r="A254" s="13" t="s">
        <v>718</v>
      </c>
      <c r="B254" s="14">
        <v>24.58</v>
      </c>
    </row>
    <row r="255" spans="1:2" x14ac:dyDescent="0.35">
      <c r="A255" s="13" t="s">
        <v>299</v>
      </c>
      <c r="B255" s="14">
        <v>24.56</v>
      </c>
    </row>
    <row r="256" spans="1:2" x14ac:dyDescent="0.35">
      <c r="A256" s="13" t="s">
        <v>259</v>
      </c>
      <c r="B256" s="14">
        <v>24.55</v>
      </c>
    </row>
    <row r="257" spans="1:2" x14ac:dyDescent="0.35">
      <c r="A257" s="13" t="s">
        <v>695</v>
      </c>
      <c r="B257" s="14">
        <v>24.31</v>
      </c>
    </row>
    <row r="258" spans="1:2" x14ac:dyDescent="0.35">
      <c r="A258" s="13" t="s">
        <v>469</v>
      </c>
      <c r="B258" s="14">
        <v>24.28</v>
      </c>
    </row>
    <row r="259" spans="1:2" x14ac:dyDescent="0.35">
      <c r="A259" s="13" t="s">
        <v>791</v>
      </c>
      <c r="B259" s="14">
        <v>23.94</v>
      </c>
    </row>
    <row r="260" spans="1:2" x14ac:dyDescent="0.35">
      <c r="A260" s="13" t="s">
        <v>217</v>
      </c>
      <c r="B260" s="14">
        <v>23.85</v>
      </c>
    </row>
    <row r="261" spans="1:2" x14ac:dyDescent="0.35">
      <c r="A261" s="13" t="s">
        <v>580</v>
      </c>
      <c r="B261" s="14">
        <v>23.84</v>
      </c>
    </row>
    <row r="262" spans="1:2" x14ac:dyDescent="0.35">
      <c r="A262" s="13" t="s">
        <v>46</v>
      </c>
      <c r="B262" s="14">
        <v>23.72</v>
      </c>
    </row>
    <row r="263" spans="1:2" x14ac:dyDescent="0.35">
      <c r="A263" s="13" t="s">
        <v>15</v>
      </c>
      <c r="B263" s="14">
        <v>23.37</v>
      </c>
    </row>
    <row r="264" spans="1:2" x14ac:dyDescent="0.35">
      <c r="A264" s="13" t="s">
        <v>677</v>
      </c>
      <c r="B264" s="14">
        <v>23.27</v>
      </c>
    </row>
    <row r="265" spans="1:2" x14ac:dyDescent="0.35">
      <c r="A265" s="13" t="s">
        <v>168</v>
      </c>
      <c r="B265" s="14">
        <v>23.2</v>
      </c>
    </row>
    <row r="266" spans="1:2" x14ac:dyDescent="0.35">
      <c r="A266" s="13" t="s">
        <v>864</v>
      </c>
      <c r="B266" s="14">
        <v>23.05</v>
      </c>
    </row>
    <row r="267" spans="1:2" x14ac:dyDescent="0.35">
      <c r="A267" s="13" t="s">
        <v>378</v>
      </c>
      <c r="B267" s="14">
        <v>22.7</v>
      </c>
    </row>
    <row r="268" spans="1:2" x14ac:dyDescent="0.35">
      <c r="A268" s="13" t="s">
        <v>601</v>
      </c>
      <c r="B268" s="14">
        <v>22.5</v>
      </c>
    </row>
    <row r="269" spans="1:2" x14ac:dyDescent="0.35">
      <c r="A269" s="13" t="s">
        <v>857</v>
      </c>
      <c r="B269" s="14">
        <v>22.39</v>
      </c>
    </row>
    <row r="270" spans="1:2" x14ac:dyDescent="0.35">
      <c r="A270" s="13" t="s">
        <v>428</v>
      </c>
      <c r="B270" s="14">
        <v>22.12</v>
      </c>
    </row>
    <row r="271" spans="1:2" x14ac:dyDescent="0.35">
      <c r="A271" s="13" t="s">
        <v>334</v>
      </c>
      <c r="B271" s="14">
        <v>22.01</v>
      </c>
    </row>
    <row r="272" spans="1:2" x14ac:dyDescent="0.35">
      <c r="A272" s="13" t="s">
        <v>29</v>
      </c>
      <c r="B272" s="14">
        <v>21.76</v>
      </c>
    </row>
    <row r="273" spans="1:2" x14ac:dyDescent="0.35">
      <c r="A273" s="13" t="s">
        <v>143</v>
      </c>
      <c r="B273" s="14">
        <v>21.75</v>
      </c>
    </row>
    <row r="274" spans="1:2" x14ac:dyDescent="0.35">
      <c r="A274" s="13" t="s">
        <v>543</v>
      </c>
      <c r="B274" s="14">
        <v>21.75</v>
      </c>
    </row>
    <row r="275" spans="1:2" x14ac:dyDescent="0.35">
      <c r="A275" s="13" t="s">
        <v>241</v>
      </c>
      <c r="B275" s="14">
        <v>21.72</v>
      </c>
    </row>
    <row r="276" spans="1:2" x14ac:dyDescent="0.35">
      <c r="A276" s="13" t="s">
        <v>124</v>
      </c>
      <c r="B276" s="14">
        <v>21.47</v>
      </c>
    </row>
    <row r="277" spans="1:2" x14ac:dyDescent="0.35">
      <c r="A277" s="13" t="s">
        <v>175</v>
      </c>
      <c r="B277" s="14">
        <v>21.46</v>
      </c>
    </row>
    <row r="278" spans="1:2" x14ac:dyDescent="0.35">
      <c r="A278" s="13" t="s">
        <v>465</v>
      </c>
      <c r="B278" s="14">
        <v>21.46</v>
      </c>
    </row>
    <row r="279" spans="1:2" x14ac:dyDescent="0.35">
      <c r="A279" s="13" t="s">
        <v>383</v>
      </c>
      <c r="B279" s="14">
        <v>21.41</v>
      </c>
    </row>
    <row r="280" spans="1:2" x14ac:dyDescent="0.35">
      <c r="A280" s="13" t="s">
        <v>311</v>
      </c>
      <c r="B280" s="14">
        <v>21.34</v>
      </c>
    </row>
    <row r="281" spans="1:2" x14ac:dyDescent="0.35">
      <c r="A281" s="13" t="s">
        <v>724</v>
      </c>
      <c r="B281" s="14">
        <v>21.27</v>
      </c>
    </row>
    <row r="282" spans="1:2" x14ac:dyDescent="0.35">
      <c r="A282" s="13" t="s">
        <v>479</v>
      </c>
      <c r="B282" s="14">
        <v>21.26</v>
      </c>
    </row>
    <row r="283" spans="1:2" x14ac:dyDescent="0.35">
      <c r="A283" s="13" t="s">
        <v>240</v>
      </c>
      <c r="B283" s="14">
        <v>21.22</v>
      </c>
    </row>
    <row r="284" spans="1:2" x14ac:dyDescent="0.35">
      <c r="A284" s="13" t="s">
        <v>569</v>
      </c>
      <c r="B284" s="14">
        <v>21.18</v>
      </c>
    </row>
    <row r="285" spans="1:2" x14ac:dyDescent="0.35">
      <c r="A285" s="13" t="s">
        <v>719</v>
      </c>
      <c r="B285" s="14">
        <v>21.16</v>
      </c>
    </row>
    <row r="286" spans="1:2" x14ac:dyDescent="0.35">
      <c r="A286" s="13" t="s">
        <v>341</v>
      </c>
      <c r="B286" s="14">
        <v>21.14</v>
      </c>
    </row>
    <row r="287" spans="1:2" x14ac:dyDescent="0.35">
      <c r="A287" s="13" t="s">
        <v>152</v>
      </c>
      <c r="B287" s="14">
        <v>20.94</v>
      </c>
    </row>
    <row r="288" spans="1:2" x14ac:dyDescent="0.35">
      <c r="A288" s="13" t="s">
        <v>526</v>
      </c>
      <c r="B288" s="14">
        <v>20.69</v>
      </c>
    </row>
    <row r="289" spans="1:2" x14ac:dyDescent="0.35">
      <c r="A289" s="13" t="s">
        <v>493</v>
      </c>
      <c r="B289" s="14">
        <v>20.64</v>
      </c>
    </row>
    <row r="290" spans="1:2" x14ac:dyDescent="0.35">
      <c r="A290" s="13" t="s">
        <v>678</v>
      </c>
      <c r="B290" s="14">
        <v>20.45</v>
      </c>
    </row>
    <row r="291" spans="1:2" x14ac:dyDescent="0.35">
      <c r="A291" s="13" t="s">
        <v>40</v>
      </c>
      <c r="B291" s="14">
        <v>20.25</v>
      </c>
    </row>
    <row r="292" spans="1:2" x14ac:dyDescent="0.35">
      <c r="A292" s="13" t="s">
        <v>823</v>
      </c>
      <c r="B292" s="14">
        <v>20.14</v>
      </c>
    </row>
    <row r="293" spans="1:2" x14ac:dyDescent="0.35">
      <c r="A293" s="13" t="s">
        <v>375</v>
      </c>
      <c r="B293" s="14">
        <v>19.91</v>
      </c>
    </row>
    <row r="294" spans="1:2" x14ac:dyDescent="0.35">
      <c r="A294" s="13" t="s">
        <v>74</v>
      </c>
      <c r="B294" s="14">
        <v>19.79</v>
      </c>
    </row>
    <row r="295" spans="1:2" x14ac:dyDescent="0.35">
      <c r="A295" s="13" t="s">
        <v>595</v>
      </c>
      <c r="B295" s="14">
        <v>19.559999999999999</v>
      </c>
    </row>
    <row r="296" spans="1:2" x14ac:dyDescent="0.35">
      <c r="A296" s="13" t="s">
        <v>735</v>
      </c>
      <c r="B296" s="14">
        <v>19.23</v>
      </c>
    </row>
    <row r="297" spans="1:2" x14ac:dyDescent="0.35">
      <c r="A297" s="13" t="s">
        <v>292</v>
      </c>
      <c r="B297" s="14">
        <v>19.21</v>
      </c>
    </row>
    <row r="298" spans="1:2" x14ac:dyDescent="0.35">
      <c r="A298" s="13" t="s">
        <v>104</v>
      </c>
      <c r="B298" s="14">
        <v>19.02</v>
      </c>
    </row>
    <row r="299" spans="1:2" x14ac:dyDescent="0.35">
      <c r="A299" s="13" t="s">
        <v>345</v>
      </c>
      <c r="B299" s="14">
        <v>18.88</v>
      </c>
    </row>
    <row r="300" spans="1:2" x14ac:dyDescent="0.35">
      <c r="A300" s="13" t="s">
        <v>450</v>
      </c>
      <c r="B300" s="14">
        <v>18.82</v>
      </c>
    </row>
    <row r="301" spans="1:2" x14ac:dyDescent="0.35">
      <c r="A301" s="13" t="s">
        <v>179</v>
      </c>
      <c r="B301" s="14">
        <v>18.78</v>
      </c>
    </row>
    <row r="302" spans="1:2" x14ac:dyDescent="0.35">
      <c r="A302" s="13" t="s">
        <v>282</v>
      </c>
      <c r="B302" s="14">
        <v>18.75</v>
      </c>
    </row>
    <row r="303" spans="1:2" x14ac:dyDescent="0.35">
      <c r="A303" s="13" t="s">
        <v>1</v>
      </c>
      <c r="B303" s="14">
        <v>18.57</v>
      </c>
    </row>
    <row r="304" spans="1:2" x14ac:dyDescent="0.35">
      <c r="A304" s="13" t="s">
        <v>731</v>
      </c>
      <c r="B304" s="14">
        <v>18.489999999999998</v>
      </c>
    </row>
    <row r="305" spans="1:2" x14ac:dyDescent="0.35">
      <c r="A305" s="13" t="s">
        <v>558</v>
      </c>
      <c r="B305" s="14">
        <v>17.989999999999998</v>
      </c>
    </row>
    <row r="306" spans="1:2" x14ac:dyDescent="0.35">
      <c r="A306" s="13" t="s">
        <v>183</v>
      </c>
      <c r="B306" s="14">
        <v>17.91</v>
      </c>
    </row>
    <row r="307" spans="1:2" x14ac:dyDescent="0.35">
      <c r="A307" s="13" t="s">
        <v>280</v>
      </c>
      <c r="B307" s="14">
        <v>17.489999999999998</v>
      </c>
    </row>
    <row r="308" spans="1:2" x14ac:dyDescent="0.35">
      <c r="A308" s="13" t="s">
        <v>712</v>
      </c>
      <c r="B308" s="14">
        <v>17.41</v>
      </c>
    </row>
    <row r="309" spans="1:2" x14ac:dyDescent="0.35">
      <c r="A309" s="13" t="s">
        <v>848</v>
      </c>
      <c r="B309" s="14">
        <v>17.170000000000002</v>
      </c>
    </row>
    <row r="310" spans="1:2" x14ac:dyDescent="0.35">
      <c r="A310" s="13" t="s">
        <v>475</v>
      </c>
      <c r="B310" s="14">
        <v>17.170000000000002</v>
      </c>
    </row>
    <row r="311" spans="1:2" x14ac:dyDescent="0.35">
      <c r="A311" s="13" t="s">
        <v>427</v>
      </c>
      <c r="B311" s="14">
        <v>16.97</v>
      </c>
    </row>
    <row r="312" spans="1:2" x14ac:dyDescent="0.35">
      <c r="A312" s="13" t="s">
        <v>59</v>
      </c>
      <c r="B312" s="14">
        <v>16.84</v>
      </c>
    </row>
    <row r="313" spans="1:2" x14ac:dyDescent="0.35">
      <c r="A313" s="13" t="s">
        <v>303</v>
      </c>
      <c r="B313" s="14">
        <v>16.68</v>
      </c>
    </row>
    <row r="314" spans="1:2" x14ac:dyDescent="0.35">
      <c r="A314" s="13" t="s">
        <v>395</v>
      </c>
      <c r="B314" s="14">
        <v>16.18</v>
      </c>
    </row>
    <row r="315" spans="1:2" x14ac:dyDescent="0.35">
      <c r="A315" s="13" t="s">
        <v>706</v>
      </c>
      <c r="B315" s="14">
        <v>16.100000000000001</v>
      </c>
    </row>
    <row r="316" spans="1:2" x14ac:dyDescent="0.35">
      <c r="A316" s="13" t="s">
        <v>304</v>
      </c>
      <c r="B316" s="14">
        <v>15.89</v>
      </c>
    </row>
    <row r="317" spans="1:2" x14ac:dyDescent="0.35">
      <c r="A317" s="13" t="s">
        <v>822</v>
      </c>
      <c r="B317" s="14">
        <v>15.74</v>
      </c>
    </row>
    <row r="318" spans="1:2" x14ac:dyDescent="0.35">
      <c r="A318" s="13" t="s">
        <v>389</v>
      </c>
      <c r="B318" s="14">
        <v>15.74</v>
      </c>
    </row>
    <row r="319" spans="1:2" x14ac:dyDescent="0.35">
      <c r="A319" s="13" t="s">
        <v>324</v>
      </c>
      <c r="B319" s="14">
        <v>15.65</v>
      </c>
    </row>
    <row r="320" spans="1:2" x14ac:dyDescent="0.35">
      <c r="A320" s="13" t="s">
        <v>632</v>
      </c>
      <c r="B320" s="14">
        <v>15.63</v>
      </c>
    </row>
    <row r="321" spans="1:2" x14ac:dyDescent="0.35">
      <c r="A321" s="13" t="s">
        <v>58</v>
      </c>
      <c r="B321" s="14">
        <v>15.6</v>
      </c>
    </row>
    <row r="322" spans="1:2" x14ac:dyDescent="0.35">
      <c r="A322" s="13" t="s">
        <v>684</v>
      </c>
      <c r="B322" s="14">
        <v>15.56</v>
      </c>
    </row>
    <row r="323" spans="1:2" x14ac:dyDescent="0.35">
      <c r="A323" s="13" t="s">
        <v>645</v>
      </c>
      <c r="B323" s="14">
        <v>15.52</v>
      </c>
    </row>
    <row r="324" spans="1:2" x14ac:dyDescent="0.35">
      <c r="A324" s="13" t="s">
        <v>810</v>
      </c>
      <c r="B324" s="14">
        <v>15.48</v>
      </c>
    </row>
    <row r="325" spans="1:2" x14ac:dyDescent="0.35">
      <c r="A325" s="13" t="s">
        <v>739</v>
      </c>
      <c r="B325" s="14">
        <v>15.48</v>
      </c>
    </row>
    <row r="326" spans="1:2" x14ac:dyDescent="0.35">
      <c r="A326" s="13" t="s">
        <v>285</v>
      </c>
      <c r="B326" s="14">
        <v>15.47</v>
      </c>
    </row>
    <row r="327" spans="1:2" x14ac:dyDescent="0.35">
      <c r="A327" s="13" t="s">
        <v>439</v>
      </c>
      <c r="B327" s="14">
        <v>15.45</v>
      </c>
    </row>
    <row r="328" spans="1:2" x14ac:dyDescent="0.35">
      <c r="A328" s="13" t="s">
        <v>101</v>
      </c>
      <c r="B328" s="14">
        <v>15.31</v>
      </c>
    </row>
    <row r="329" spans="1:2" x14ac:dyDescent="0.35">
      <c r="A329" s="13" t="s">
        <v>871</v>
      </c>
      <c r="B329" s="14">
        <v>15.31</v>
      </c>
    </row>
    <row r="330" spans="1:2" x14ac:dyDescent="0.35">
      <c r="A330" s="13" t="s">
        <v>429</v>
      </c>
      <c r="B330" s="14">
        <v>15.17</v>
      </c>
    </row>
    <row r="331" spans="1:2" x14ac:dyDescent="0.35">
      <c r="A331" s="13" t="s">
        <v>2</v>
      </c>
      <c r="B331" s="14">
        <v>15.13</v>
      </c>
    </row>
    <row r="332" spans="1:2" x14ac:dyDescent="0.35">
      <c r="A332" s="13" t="s">
        <v>84</v>
      </c>
      <c r="B332" s="14">
        <v>15.12</v>
      </c>
    </row>
    <row r="333" spans="1:2" x14ac:dyDescent="0.35">
      <c r="A333" s="13" t="s">
        <v>738</v>
      </c>
      <c r="B333" s="14">
        <v>15.05</v>
      </c>
    </row>
    <row r="334" spans="1:2" x14ac:dyDescent="0.35">
      <c r="A334" s="13" t="s">
        <v>866</v>
      </c>
      <c r="B334" s="14">
        <v>14.92</v>
      </c>
    </row>
    <row r="335" spans="1:2" x14ac:dyDescent="0.35">
      <c r="A335" s="13" t="s">
        <v>673</v>
      </c>
      <c r="B335" s="14">
        <v>14.81</v>
      </c>
    </row>
    <row r="336" spans="1:2" x14ac:dyDescent="0.35">
      <c r="A336" s="13" t="s">
        <v>110</v>
      </c>
      <c r="B336" s="14">
        <v>14.62</v>
      </c>
    </row>
    <row r="337" spans="1:2" x14ac:dyDescent="0.35">
      <c r="A337" s="13" t="s">
        <v>82</v>
      </c>
      <c r="B337" s="14">
        <v>14.55</v>
      </c>
    </row>
    <row r="338" spans="1:2" x14ac:dyDescent="0.35">
      <c r="A338" s="13" t="s">
        <v>484</v>
      </c>
      <c r="B338" s="14">
        <v>14.46</v>
      </c>
    </row>
    <row r="339" spans="1:2" x14ac:dyDescent="0.35">
      <c r="A339" s="13" t="s">
        <v>658</v>
      </c>
      <c r="B339" s="14">
        <v>14.2</v>
      </c>
    </row>
    <row r="340" spans="1:2" x14ac:dyDescent="0.35">
      <c r="A340" s="13" t="s">
        <v>494</v>
      </c>
      <c r="B340" s="14">
        <v>14.19</v>
      </c>
    </row>
    <row r="341" spans="1:2" x14ac:dyDescent="0.35">
      <c r="A341" s="13" t="s">
        <v>313</v>
      </c>
      <c r="B341" s="14">
        <v>14.16</v>
      </c>
    </row>
    <row r="342" spans="1:2" x14ac:dyDescent="0.35">
      <c r="A342" s="13" t="s">
        <v>596</v>
      </c>
      <c r="B342" s="14">
        <v>14.16</v>
      </c>
    </row>
    <row r="343" spans="1:2" x14ac:dyDescent="0.35">
      <c r="A343" s="13" t="s">
        <v>592</v>
      </c>
      <c r="B343" s="14">
        <v>14.15</v>
      </c>
    </row>
    <row r="344" spans="1:2" x14ac:dyDescent="0.35">
      <c r="A344" s="13" t="s">
        <v>22</v>
      </c>
      <c r="B344" s="14">
        <v>14.13</v>
      </c>
    </row>
    <row r="345" spans="1:2" x14ac:dyDescent="0.35">
      <c r="A345" s="13" t="s">
        <v>551</v>
      </c>
      <c r="B345" s="14">
        <v>14.02</v>
      </c>
    </row>
    <row r="346" spans="1:2" x14ac:dyDescent="0.35">
      <c r="A346" s="13" t="s">
        <v>432</v>
      </c>
      <c r="B346" s="14">
        <v>13.94</v>
      </c>
    </row>
    <row r="347" spans="1:2" x14ac:dyDescent="0.35">
      <c r="A347" s="13" t="s">
        <v>63</v>
      </c>
      <c r="B347" s="14">
        <v>13.9</v>
      </c>
    </row>
    <row r="348" spans="1:2" x14ac:dyDescent="0.35">
      <c r="A348" s="13" t="s">
        <v>548</v>
      </c>
      <c r="B348" s="14">
        <v>13.9</v>
      </c>
    </row>
    <row r="349" spans="1:2" x14ac:dyDescent="0.35">
      <c r="A349" s="13" t="s">
        <v>48</v>
      </c>
      <c r="B349" s="14">
        <v>13.89</v>
      </c>
    </row>
    <row r="350" spans="1:2" x14ac:dyDescent="0.35">
      <c r="A350" s="13" t="s">
        <v>61</v>
      </c>
      <c r="B350" s="14">
        <v>13.84</v>
      </c>
    </row>
    <row r="351" spans="1:2" x14ac:dyDescent="0.35">
      <c r="A351" s="13" t="s">
        <v>348</v>
      </c>
      <c r="B351" s="14">
        <v>13.84</v>
      </c>
    </row>
    <row r="352" spans="1:2" x14ac:dyDescent="0.35">
      <c r="A352" s="13" t="s">
        <v>663</v>
      </c>
      <c r="B352" s="14">
        <v>13.84</v>
      </c>
    </row>
    <row r="353" spans="1:2" x14ac:dyDescent="0.35">
      <c r="A353" s="13" t="s">
        <v>154</v>
      </c>
      <c r="B353" s="14">
        <v>13.82</v>
      </c>
    </row>
    <row r="354" spans="1:2" x14ac:dyDescent="0.35">
      <c r="A354" s="13" t="s">
        <v>301</v>
      </c>
      <c r="B354" s="14">
        <v>13.79</v>
      </c>
    </row>
    <row r="355" spans="1:2" x14ac:dyDescent="0.35">
      <c r="A355" s="13" t="s">
        <v>691</v>
      </c>
      <c r="B355" s="14">
        <v>13.77</v>
      </c>
    </row>
    <row r="356" spans="1:2" x14ac:dyDescent="0.35">
      <c r="A356" s="13" t="s">
        <v>380</v>
      </c>
      <c r="B356" s="14">
        <v>13.66</v>
      </c>
    </row>
    <row r="357" spans="1:2" x14ac:dyDescent="0.35">
      <c r="A357" s="13" t="s">
        <v>243</v>
      </c>
      <c r="B357" s="14">
        <v>13.52</v>
      </c>
    </row>
    <row r="358" spans="1:2" x14ac:dyDescent="0.35">
      <c r="A358" s="13" t="s">
        <v>355</v>
      </c>
      <c r="B358" s="14">
        <v>13.46</v>
      </c>
    </row>
    <row r="359" spans="1:2" x14ac:dyDescent="0.35">
      <c r="A359" s="13" t="s">
        <v>165</v>
      </c>
      <c r="B359" s="14">
        <v>13.4</v>
      </c>
    </row>
    <row r="360" spans="1:2" x14ac:dyDescent="0.35">
      <c r="A360" s="13" t="s">
        <v>85</v>
      </c>
      <c r="B360" s="14">
        <v>13.37</v>
      </c>
    </row>
    <row r="361" spans="1:2" x14ac:dyDescent="0.35">
      <c r="A361" s="13" t="s">
        <v>7</v>
      </c>
      <c r="B361" s="14">
        <v>13.29</v>
      </c>
    </row>
    <row r="362" spans="1:2" x14ac:dyDescent="0.35">
      <c r="A362" s="13" t="s">
        <v>332</v>
      </c>
      <c r="B362" s="14">
        <v>13.13</v>
      </c>
    </row>
    <row r="363" spans="1:2" x14ac:dyDescent="0.35">
      <c r="A363" s="13" t="s">
        <v>563</v>
      </c>
      <c r="B363" s="14">
        <v>13.09</v>
      </c>
    </row>
    <row r="364" spans="1:2" x14ac:dyDescent="0.35">
      <c r="A364" s="13" t="s">
        <v>24</v>
      </c>
      <c r="B364" s="14">
        <v>13.02</v>
      </c>
    </row>
    <row r="365" spans="1:2" x14ac:dyDescent="0.35">
      <c r="A365" s="13" t="s">
        <v>835</v>
      </c>
      <c r="B365" s="14">
        <v>12.94</v>
      </c>
    </row>
    <row r="366" spans="1:2" x14ac:dyDescent="0.35">
      <c r="A366" s="13" t="s">
        <v>697</v>
      </c>
      <c r="B366" s="14">
        <v>12.91</v>
      </c>
    </row>
    <row r="367" spans="1:2" x14ac:dyDescent="0.35">
      <c r="A367" s="13" t="s">
        <v>707</v>
      </c>
      <c r="B367" s="14">
        <v>12.82</v>
      </c>
    </row>
    <row r="368" spans="1:2" x14ac:dyDescent="0.35">
      <c r="A368" s="13" t="s">
        <v>532</v>
      </c>
      <c r="B368" s="14">
        <v>12.69</v>
      </c>
    </row>
    <row r="369" spans="1:2" x14ac:dyDescent="0.35">
      <c r="A369" s="13" t="s">
        <v>649</v>
      </c>
      <c r="B369" s="14">
        <v>12.65</v>
      </c>
    </row>
    <row r="370" spans="1:2" x14ac:dyDescent="0.35">
      <c r="A370" s="13" t="s">
        <v>808</v>
      </c>
      <c r="B370" s="14">
        <v>12.53</v>
      </c>
    </row>
    <row r="371" spans="1:2" x14ac:dyDescent="0.35">
      <c r="A371" s="13" t="s">
        <v>53</v>
      </c>
      <c r="B371" s="14">
        <v>12.51</v>
      </c>
    </row>
    <row r="372" spans="1:2" x14ac:dyDescent="0.35">
      <c r="A372" s="13" t="s">
        <v>370</v>
      </c>
      <c r="B372" s="14">
        <v>12.33</v>
      </c>
    </row>
    <row r="373" spans="1:2" x14ac:dyDescent="0.35">
      <c r="A373" s="13" t="s">
        <v>456</v>
      </c>
      <c r="B373" s="14">
        <v>12.27</v>
      </c>
    </row>
    <row r="374" spans="1:2" x14ac:dyDescent="0.35">
      <c r="A374" s="13" t="s">
        <v>536</v>
      </c>
      <c r="B374" s="14">
        <v>12.2</v>
      </c>
    </row>
    <row r="375" spans="1:2" x14ac:dyDescent="0.35">
      <c r="A375" s="13" t="s">
        <v>674</v>
      </c>
      <c r="B375" s="14">
        <v>12.2</v>
      </c>
    </row>
    <row r="376" spans="1:2" x14ac:dyDescent="0.35">
      <c r="A376" s="13" t="s">
        <v>474</v>
      </c>
      <c r="B376" s="14">
        <v>12.16</v>
      </c>
    </row>
    <row r="377" spans="1:2" x14ac:dyDescent="0.35">
      <c r="A377" s="13" t="s">
        <v>220</v>
      </c>
      <c r="B377" s="14">
        <v>12.14</v>
      </c>
    </row>
    <row r="378" spans="1:2" x14ac:dyDescent="0.35">
      <c r="A378" s="13" t="s">
        <v>11</v>
      </c>
      <c r="B378" s="14">
        <v>12.09</v>
      </c>
    </row>
    <row r="379" spans="1:2" x14ac:dyDescent="0.35">
      <c r="A379" s="13" t="s">
        <v>164</v>
      </c>
      <c r="B379" s="14">
        <v>12.09</v>
      </c>
    </row>
    <row r="380" spans="1:2" x14ac:dyDescent="0.35">
      <c r="A380" s="13" t="s">
        <v>123</v>
      </c>
      <c r="B380" s="14">
        <v>12.08</v>
      </c>
    </row>
    <row r="381" spans="1:2" x14ac:dyDescent="0.35">
      <c r="A381" s="13" t="s">
        <v>331</v>
      </c>
      <c r="B381" s="14">
        <v>12</v>
      </c>
    </row>
    <row r="382" spans="1:2" x14ac:dyDescent="0.35">
      <c r="A382" s="13" t="s">
        <v>482</v>
      </c>
      <c r="B382" s="14">
        <v>11.97</v>
      </c>
    </row>
    <row r="383" spans="1:2" x14ac:dyDescent="0.35">
      <c r="A383" s="13" t="s">
        <v>267</v>
      </c>
      <c r="B383" s="14">
        <v>11.92</v>
      </c>
    </row>
    <row r="384" spans="1:2" x14ac:dyDescent="0.35">
      <c r="A384" s="13" t="s">
        <v>258</v>
      </c>
      <c r="B384" s="14">
        <v>11.91</v>
      </c>
    </row>
    <row r="385" spans="1:2" x14ac:dyDescent="0.35">
      <c r="A385" s="13" t="s">
        <v>358</v>
      </c>
      <c r="B385" s="14">
        <v>11.85</v>
      </c>
    </row>
    <row r="386" spans="1:2" x14ac:dyDescent="0.35">
      <c r="A386" s="13" t="s">
        <v>6</v>
      </c>
      <c r="B386" s="14">
        <v>11.84</v>
      </c>
    </row>
    <row r="387" spans="1:2" x14ac:dyDescent="0.35">
      <c r="A387" s="13" t="s">
        <v>254</v>
      </c>
      <c r="B387" s="14">
        <v>11.59</v>
      </c>
    </row>
    <row r="388" spans="1:2" x14ac:dyDescent="0.35">
      <c r="A388" s="13" t="s">
        <v>229</v>
      </c>
      <c r="B388" s="14">
        <v>11.51</v>
      </c>
    </row>
    <row r="389" spans="1:2" x14ac:dyDescent="0.35">
      <c r="A389" s="13" t="s">
        <v>573</v>
      </c>
      <c r="B389" s="14">
        <v>11.51</v>
      </c>
    </row>
    <row r="390" spans="1:2" x14ac:dyDescent="0.35">
      <c r="A390" s="13" t="s">
        <v>199</v>
      </c>
      <c r="B390" s="14">
        <v>11.49</v>
      </c>
    </row>
    <row r="391" spans="1:2" x14ac:dyDescent="0.35">
      <c r="A391" s="13" t="s">
        <v>803</v>
      </c>
      <c r="B391" s="14">
        <v>11.42</v>
      </c>
    </row>
    <row r="392" spans="1:2" x14ac:dyDescent="0.35">
      <c r="A392" s="13" t="s">
        <v>579</v>
      </c>
      <c r="B392" s="14">
        <v>11.17</v>
      </c>
    </row>
    <row r="393" spans="1:2" x14ac:dyDescent="0.35">
      <c r="A393" s="13" t="s">
        <v>624</v>
      </c>
      <c r="B393" s="14">
        <v>11.12</v>
      </c>
    </row>
    <row r="394" spans="1:2" x14ac:dyDescent="0.35">
      <c r="A394" s="13" t="s">
        <v>278</v>
      </c>
      <c r="B394" s="14">
        <v>11.1</v>
      </c>
    </row>
    <row r="395" spans="1:2" x14ac:dyDescent="0.35">
      <c r="A395" s="13" t="s">
        <v>541</v>
      </c>
      <c r="B395" s="14">
        <v>11.09</v>
      </c>
    </row>
    <row r="396" spans="1:2" x14ac:dyDescent="0.35">
      <c r="A396" s="13" t="s">
        <v>112</v>
      </c>
      <c r="B396" s="14">
        <v>11.01</v>
      </c>
    </row>
    <row r="397" spans="1:2" x14ac:dyDescent="0.35">
      <c r="A397" s="13" t="s">
        <v>426</v>
      </c>
      <c r="B397" s="14">
        <v>10.95</v>
      </c>
    </row>
    <row r="398" spans="1:2" x14ac:dyDescent="0.35">
      <c r="A398" s="13" t="s">
        <v>730</v>
      </c>
      <c r="B398" s="14">
        <v>10.87</v>
      </c>
    </row>
    <row r="399" spans="1:2" x14ac:dyDescent="0.35">
      <c r="A399" s="13" t="s">
        <v>347</v>
      </c>
      <c r="B399" s="14">
        <v>10.84</v>
      </c>
    </row>
    <row r="400" spans="1:2" x14ac:dyDescent="0.35">
      <c r="A400" s="13" t="s">
        <v>384</v>
      </c>
      <c r="B400" s="14">
        <v>10.83</v>
      </c>
    </row>
    <row r="401" spans="1:2" x14ac:dyDescent="0.35">
      <c r="A401" s="13" t="s">
        <v>10</v>
      </c>
      <c r="B401" s="14">
        <v>10.72</v>
      </c>
    </row>
    <row r="402" spans="1:2" x14ac:dyDescent="0.35">
      <c r="A402" s="13" t="s">
        <v>534</v>
      </c>
      <c r="B402" s="14">
        <v>10.72</v>
      </c>
    </row>
    <row r="403" spans="1:2" x14ac:dyDescent="0.35">
      <c r="A403" s="13" t="s">
        <v>693</v>
      </c>
      <c r="B403" s="14">
        <v>10.68</v>
      </c>
    </row>
    <row r="404" spans="1:2" x14ac:dyDescent="0.35">
      <c r="A404" s="13" t="s">
        <v>208</v>
      </c>
      <c r="B404" s="14">
        <v>10.66</v>
      </c>
    </row>
    <row r="405" spans="1:2" x14ac:dyDescent="0.35">
      <c r="A405" s="13" t="s">
        <v>28</v>
      </c>
      <c r="B405" s="14">
        <v>10.65</v>
      </c>
    </row>
    <row r="406" spans="1:2" x14ac:dyDescent="0.35">
      <c r="A406" s="13" t="s">
        <v>70</v>
      </c>
      <c r="B406" s="14">
        <v>10.64</v>
      </c>
    </row>
    <row r="407" spans="1:2" x14ac:dyDescent="0.35">
      <c r="A407" s="13" t="s">
        <v>98</v>
      </c>
      <c r="B407" s="14">
        <v>10.59</v>
      </c>
    </row>
    <row r="408" spans="1:2" x14ac:dyDescent="0.35">
      <c r="A408" s="13" t="s">
        <v>371</v>
      </c>
      <c r="B408" s="14">
        <v>10.59</v>
      </c>
    </row>
    <row r="409" spans="1:2" x14ac:dyDescent="0.35">
      <c r="A409" s="13" t="s">
        <v>652</v>
      </c>
      <c r="B409" s="14">
        <v>10.57</v>
      </c>
    </row>
    <row r="410" spans="1:2" x14ac:dyDescent="0.35">
      <c r="A410" s="13" t="s">
        <v>572</v>
      </c>
      <c r="B410" s="14">
        <v>10.5</v>
      </c>
    </row>
    <row r="411" spans="1:2" x14ac:dyDescent="0.35">
      <c r="A411" s="13" t="s">
        <v>661</v>
      </c>
      <c r="B411" s="14">
        <v>10.47</v>
      </c>
    </row>
    <row r="412" spans="1:2" x14ac:dyDescent="0.35">
      <c r="A412" s="13" t="s">
        <v>659</v>
      </c>
      <c r="B412" s="14">
        <v>10.4</v>
      </c>
    </row>
    <row r="413" spans="1:2" x14ac:dyDescent="0.35">
      <c r="A413" s="13" t="s">
        <v>356</v>
      </c>
      <c r="B413" s="14">
        <v>10.32</v>
      </c>
    </row>
    <row r="414" spans="1:2" x14ac:dyDescent="0.35">
      <c r="A414" s="13" t="s">
        <v>279</v>
      </c>
      <c r="B414" s="14">
        <v>10.220000000000001</v>
      </c>
    </row>
    <row r="415" spans="1:2" x14ac:dyDescent="0.35">
      <c r="A415" s="13" t="s">
        <v>448</v>
      </c>
      <c r="B415" s="14">
        <v>10.220000000000001</v>
      </c>
    </row>
    <row r="416" spans="1:2" x14ac:dyDescent="0.35">
      <c r="A416" s="13" t="s">
        <v>836</v>
      </c>
      <c r="B416" s="14">
        <v>10.17</v>
      </c>
    </row>
    <row r="417" spans="1:2" x14ac:dyDescent="0.35">
      <c r="A417" s="13" t="s">
        <v>244</v>
      </c>
      <c r="B417" s="14">
        <v>10.15</v>
      </c>
    </row>
    <row r="418" spans="1:2" x14ac:dyDescent="0.35">
      <c r="A418" s="13" t="s">
        <v>39</v>
      </c>
      <c r="B418" s="14">
        <v>10.14</v>
      </c>
    </row>
    <row r="419" spans="1:2" x14ac:dyDescent="0.35">
      <c r="A419" s="13" t="s">
        <v>622</v>
      </c>
      <c r="B419" s="14">
        <v>10.050000000000001</v>
      </c>
    </row>
    <row r="420" spans="1:2" x14ac:dyDescent="0.35">
      <c r="A420" s="13" t="s">
        <v>214</v>
      </c>
      <c r="B420" s="14">
        <v>9.93</v>
      </c>
    </row>
    <row r="421" spans="1:2" x14ac:dyDescent="0.35">
      <c r="A421" s="13" t="s">
        <v>480</v>
      </c>
      <c r="B421" s="14">
        <v>9.91</v>
      </c>
    </row>
    <row r="422" spans="1:2" x14ac:dyDescent="0.35">
      <c r="A422" s="13" t="s">
        <v>723</v>
      </c>
      <c r="B422" s="14">
        <v>9.85</v>
      </c>
    </row>
    <row r="423" spans="1:2" x14ac:dyDescent="0.35">
      <c r="A423" s="13" t="s">
        <v>3</v>
      </c>
      <c r="B423" s="14">
        <v>9.8000000000000007</v>
      </c>
    </row>
    <row r="424" spans="1:2" x14ac:dyDescent="0.35">
      <c r="A424" s="13" t="s">
        <v>373</v>
      </c>
      <c r="B424" s="14">
        <v>9.7899999999999991</v>
      </c>
    </row>
    <row r="425" spans="1:2" x14ac:dyDescent="0.35">
      <c r="A425" s="13" t="s">
        <v>255</v>
      </c>
      <c r="B425" s="14">
        <v>9.75</v>
      </c>
    </row>
    <row r="426" spans="1:2" x14ac:dyDescent="0.35">
      <c r="A426" s="13" t="s">
        <v>218</v>
      </c>
      <c r="B426" s="14">
        <v>9.74</v>
      </c>
    </row>
    <row r="427" spans="1:2" x14ac:dyDescent="0.35">
      <c r="A427" s="13" t="s">
        <v>466</v>
      </c>
      <c r="B427" s="14">
        <v>9.74</v>
      </c>
    </row>
    <row r="428" spans="1:2" x14ac:dyDescent="0.35">
      <c r="A428" s="13" t="s">
        <v>408</v>
      </c>
      <c r="B428" s="14">
        <v>9.6999999999999993</v>
      </c>
    </row>
    <row r="429" spans="1:2" x14ac:dyDescent="0.35">
      <c r="A429" s="13" t="s">
        <v>202</v>
      </c>
      <c r="B429" s="14">
        <v>9.69</v>
      </c>
    </row>
    <row r="430" spans="1:2" x14ac:dyDescent="0.35">
      <c r="A430" s="13" t="s">
        <v>725</v>
      </c>
      <c r="B430" s="14">
        <v>9.59</v>
      </c>
    </row>
    <row r="431" spans="1:2" x14ac:dyDescent="0.35">
      <c r="A431" s="13" t="s">
        <v>702</v>
      </c>
      <c r="B431" s="14">
        <v>9.58</v>
      </c>
    </row>
    <row r="432" spans="1:2" x14ac:dyDescent="0.35">
      <c r="A432" s="13" t="s">
        <v>505</v>
      </c>
      <c r="B432" s="14">
        <v>9.5500000000000007</v>
      </c>
    </row>
    <row r="433" spans="1:2" x14ac:dyDescent="0.35">
      <c r="A433" s="13" t="s">
        <v>128</v>
      </c>
      <c r="B433" s="14">
        <v>9.5399999999999991</v>
      </c>
    </row>
    <row r="434" spans="1:2" x14ac:dyDescent="0.35">
      <c r="A434" s="13" t="s">
        <v>498</v>
      </c>
      <c r="B434" s="14">
        <v>9.5399999999999991</v>
      </c>
    </row>
    <row r="435" spans="1:2" x14ac:dyDescent="0.35">
      <c r="A435" s="13" t="s">
        <v>368</v>
      </c>
      <c r="B435" s="14">
        <v>9.52</v>
      </c>
    </row>
    <row r="436" spans="1:2" x14ac:dyDescent="0.35">
      <c r="A436" s="13" t="s">
        <v>360</v>
      </c>
      <c r="B436" s="14">
        <v>9.49</v>
      </c>
    </row>
    <row r="437" spans="1:2" x14ac:dyDescent="0.35">
      <c r="A437" s="13" t="s">
        <v>260</v>
      </c>
      <c r="B437" s="14">
        <v>9.3800000000000008</v>
      </c>
    </row>
    <row r="438" spans="1:2" x14ac:dyDescent="0.35">
      <c r="A438" s="13" t="s">
        <v>42</v>
      </c>
      <c r="B438" s="14">
        <v>9.31</v>
      </c>
    </row>
    <row r="439" spans="1:2" x14ac:dyDescent="0.35">
      <c r="A439" s="13" t="s">
        <v>219</v>
      </c>
      <c r="B439" s="14">
        <v>9.31</v>
      </c>
    </row>
    <row r="440" spans="1:2" x14ac:dyDescent="0.35">
      <c r="A440" s="13" t="s">
        <v>142</v>
      </c>
      <c r="B440" s="14">
        <v>9.2799999999999994</v>
      </c>
    </row>
    <row r="441" spans="1:2" x14ac:dyDescent="0.35">
      <c r="A441" s="13" t="s">
        <v>672</v>
      </c>
      <c r="B441" s="14">
        <v>9.26</v>
      </c>
    </row>
    <row r="442" spans="1:2" x14ac:dyDescent="0.35">
      <c r="A442" s="13" t="s">
        <v>137</v>
      </c>
      <c r="B442" s="14">
        <v>9.16</v>
      </c>
    </row>
    <row r="443" spans="1:2" x14ac:dyDescent="0.35">
      <c r="A443" s="13" t="s">
        <v>418</v>
      </c>
      <c r="B443" s="14">
        <v>9.15</v>
      </c>
    </row>
    <row r="444" spans="1:2" x14ac:dyDescent="0.35">
      <c r="A444" s="13" t="s">
        <v>732</v>
      </c>
      <c r="B444" s="14">
        <v>9.01</v>
      </c>
    </row>
    <row r="445" spans="1:2" x14ac:dyDescent="0.35">
      <c r="A445" s="13" t="s">
        <v>209</v>
      </c>
      <c r="B445" s="14">
        <v>8.92</v>
      </c>
    </row>
    <row r="446" spans="1:2" x14ac:dyDescent="0.35">
      <c r="A446" s="13" t="s">
        <v>527</v>
      </c>
      <c r="B446" s="14">
        <v>8.9</v>
      </c>
    </row>
    <row r="447" spans="1:2" x14ac:dyDescent="0.35">
      <c r="A447" s="13" t="s">
        <v>56</v>
      </c>
      <c r="B447" s="14">
        <v>8.86</v>
      </c>
    </row>
    <row r="448" spans="1:2" x14ac:dyDescent="0.35">
      <c r="A448" s="13" t="s">
        <v>201</v>
      </c>
      <c r="B448" s="14">
        <v>8.7200000000000006</v>
      </c>
    </row>
    <row r="449" spans="1:2" x14ac:dyDescent="0.35">
      <c r="A449" s="13" t="s">
        <v>51</v>
      </c>
      <c r="B449" s="14">
        <v>8.6999999999999993</v>
      </c>
    </row>
    <row r="450" spans="1:2" x14ac:dyDescent="0.35">
      <c r="A450" s="13" t="s">
        <v>186</v>
      </c>
      <c r="B450" s="14">
        <v>8.69</v>
      </c>
    </row>
    <row r="451" spans="1:2" x14ac:dyDescent="0.35">
      <c r="A451" s="13" t="s">
        <v>141</v>
      </c>
      <c r="B451" s="14">
        <v>8.6</v>
      </c>
    </row>
    <row r="452" spans="1:2" x14ac:dyDescent="0.35">
      <c r="A452" s="13" t="s">
        <v>631</v>
      </c>
      <c r="B452" s="14">
        <v>8.49</v>
      </c>
    </row>
    <row r="453" spans="1:2" x14ac:dyDescent="0.35">
      <c r="A453" s="13" t="s">
        <v>35</v>
      </c>
      <c r="B453" s="14">
        <v>8.34</v>
      </c>
    </row>
    <row r="454" spans="1:2" x14ac:dyDescent="0.35">
      <c r="A454" s="13" t="s">
        <v>293</v>
      </c>
      <c r="B454" s="14">
        <v>8.1999999999999993</v>
      </c>
    </row>
    <row r="455" spans="1:2" x14ac:dyDescent="0.35">
      <c r="A455" s="13" t="s">
        <v>182</v>
      </c>
      <c r="B455" s="14">
        <v>8.0399999999999991</v>
      </c>
    </row>
    <row r="456" spans="1:2" x14ac:dyDescent="0.35">
      <c r="A456" s="13" t="s">
        <v>396</v>
      </c>
      <c r="B456" s="14">
        <v>8.01</v>
      </c>
    </row>
    <row r="457" spans="1:2" x14ac:dyDescent="0.35">
      <c r="A457" s="13" t="s">
        <v>681</v>
      </c>
      <c r="B457" s="14">
        <v>8.01</v>
      </c>
    </row>
    <row r="458" spans="1:2" x14ac:dyDescent="0.35">
      <c r="A458" s="13" t="s">
        <v>8</v>
      </c>
      <c r="B458" s="14">
        <v>7.98</v>
      </c>
    </row>
    <row r="459" spans="1:2" x14ac:dyDescent="0.35">
      <c r="A459" s="13" t="s">
        <v>511</v>
      </c>
      <c r="B459" s="14">
        <v>7.93</v>
      </c>
    </row>
    <row r="460" spans="1:2" x14ac:dyDescent="0.35">
      <c r="A460" s="13" t="s">
        <v>41</v>
      </c>
      <c r="B460" s="14">
        <v>7.91</v>
      </c>
    </row>
    <row r="461" spans="1:2" x14ac:dyDescent="0.35">
      <c r="A461" s="13" t="s">
        <v>402</v>
      </c>
      <c r="B461" s="14">
        <v>7.76</v>
      </c>
    </row>
    <row r="462" spans="1:2" x14ac:dyDescent="0.35">
      <c r="A462" s="13" t="s">
        <v>570</v>
      </c>
      <c r="B462" s="14">
        <v>7.62</v>
      </c>
    </row>
    <row r="463" spans="1:2" x14ac:dyDescent="0.35">
      <c r="A463" s="13" t="s">
        <v>97</v>
      </c>
      <c r="B463" s="14">
        <v>7.61</v>
      </c>
    </row>
    <row r="464" spans="1:2" x14ac:dyDescent="0.35">
      <c r="A464" s="13" t="s">
        <v>323</v>
      </c>
      <c r="B464" s="14">
        <v>7.6</v>
      </c>
    </row>
    <row r="465" spans="1:2" x14ac:dyDescent="0.35">
      <c r="A465" s="13" t="s">
        <v>125</v>
      </c>
      <c r="B465" s="14">
        <v>7.59</v>
      </c>
    </row>
    <row r="466" spans="1:2" x14ac:dyDescent="0.35">
      <c r="A466" s="13" t="s">
        <v>197</v>
      </c>
      <c r="B466" s="14">
        <v>7.59</v>
      </c>
    </row>
    <row r="467" spans="1:2" x14ac:dyDescent="0.35">
      <c r="A467" s="13" t="s">
        <v>134</v>
      </c>
      <c r="B467" s="14">
        <v>7.5</v>
      </c>
    </row>
    <row r="468" spans="1:2" x14ac:dyDescent="0.35">
      <c r="A468" s="13" t="s">
        <v>648</v>
      </c>
      <c r="B468" s="14">
        <v>7.43</v>
      </c>
    </row>
    <row r="469" spans="1:2" x14ac:dyDescent="0.35">
      <c r="A469" s="13" t="s">
        <v>401</v>
      </c>
      <c r="B469" s="14">
        <v>7.41</v>
      </c>
    </row>
    <row r="470" spans="1:2" x14ac:dyDescent="0.35">
      <c r="A470" s="13" t="s">
        <v>57</v>
      </c>
      <c r="B470" s="14">
        <v>7.24</v>
      </c>
    </row>
    <row r="471" spans="1:2" x14ac:dyDescent="0.35">
      <c r="A471" s="13" t="s">
        <v>73</v>
      </c>
      <c r="B471" s="14">
        <v>7.16</v>
      </c>
    </row>
    <row r="472" spans="1:2" x14ac:dyDescent="0.35">
      <c r="A472" s="13" t="s">
        <v>117</v>
      </c>
      <c r="B472" s="14">
        <v>7.13</v>
      </c>
    </row>
    <row r="473" spans="1:2" x14ac:dyDescent="0.35">
      <c r="A473" s="13" t="s">
        <v>81</v>
      </c>
      <c r="B473" s="14">
        <v>7.12</v>
      </c>
    </row>
    <row r="474" spans="1:2" x14ac:dyDescent="0.35">
      <c r="A474" s="13" t="s">
        <v>476</v>
      </c>
      <c r="B474" s="14">
        <v>7.02</v>
      </c>
    </row>
    <row r="475" spans="1:2" x14ac:dyDescent="0.35">
      <c r="A475" s="13" t="s">
        <v>811</v>
      </c>
      <c r="B475" s="14">
        <v>7.01</v>
      </c>
    </row>
    <row r="476" spans="1:2" x14ac:dyDescent="0.35">
      <c r="A476" s="13" t="s">
        <v>287</v>
      </c>
      <c r="B476" s="14">
        <v>7.01</v>
      </c>
    </row>
    <row r="477" spans="1:2" x14ac:dyDescent="0.35">
      <c r="A477" s="13" t="s">
        <v>680</v>
      </c>
      <c r="B477" s="14">
        <v>7.01</v>
      </c>
    </row>
    <row r="478" spans="1:2" x14ac:dyDescent="0.35">
      <c r="A478" s="13" t="s">
        <v>720</v>
      </c>
      <c r="B478" s="14">
        <v>6.95</v>
      </c>
    </row>
    <row r="479" spans="1:2" x14ac:dyDescent="0.35">
      <c r="A479" s="13" t="s">
        <v>519</v>
      </c>
      <c r="B479" s="14">
        <v>6.77</v>
      </c>
    </row>
    <row r="480" spans="1:2" x14ac:dyDescent="0.35">
      <c r="A480" s="13" t="s">
        <v>55</v>
      </c>
      <c r="B480" s="14">
        <v>6.73</v>
      </c>
    </row>
    <row r="481" spans="1:2" x14ac:dyDescent="0.35">
      <c r="A481" s="13" t="s">
        <v>352</v>
      </c>
      <c r="B481" s="14">
        <v>6.67</v>
      </c>
    </row>
    <row r="482" spans="1:2" x14ac:dyDescent="0.35">
      <c r="A482" s="13" t="s">
        <v>629</v>
      </c>
      <c r="B482" s="14">
        <v>6.66</v>
      </c>
    </row>
    <row r="483" spans="1:2" x14ac:dyDescent="0.35">
      <c r="A483" s="13" t="s">
        <v>838</v>
      </c>
      <c r="B483" s="14">
        <v>6.64</v>
      </c>
    </row>
    <row r="484" spans="1:2" x14ac:dyDescent="0.35">
      <c r="A484" s="13" t="s">
        <v>205</v>
      </c>
      <c r="B484" s="14">
        <v>6.61</v>
      </c>
    </row>
    <row r="485" spans="1:2" x14ac:dyDescent="0.35">
      <c r="A485" s="13" t="s">
        <v>227</v>
      </c>
      <c r="B485" s="14">
        <v>6.5</v>
      </c>
    </row>
    <row r="486" spans="1:2" x14ac:dyDescent="0.35">
      <c r="A486" s="13" t="s">
        <v>283</v>
      </c>
      <c r="B486" s="14">
        <v>6.5</v>
      </c>
    </row>
    <row r="487" spans="1:2" x14ac:dyDescent="0.35">
      <c r="A487" s="13" t="s">
        <v>454</v>
      </c>
      <c r="B487" s="14">
        <v>6.48</v>
      </c>
    </row>
    <row r="488" spans="1:2" x14ac:dyDescent="0.35">
      <c r="A488" s="13" t="s">
        <v>549</v>
      </c>
      <c r="B488" s="14">
        <v>6.48</v>
      </c>
    </row>
    <row r="489" spans="1:2" x14ac:dyDescent="0.35">
      <c r="A489" s="13" t="s">
        <v>364</v>
      </c>
      <c r="B489" s="14">
        <v>6.46</v>
      </c>
    </row>
    <row r="490" spans="1:2" x14ac:dyDescent="0.35">
      <c r="A490" s="13" t="s">
        <v>477</v>
      </c>
      <c r="B490" s="14">
        <v>6.42</v>
      </c>
    </row>
    <row r="491" spans="1:2" x14ac:dyDescent="0.35">
      <c r="A491" s="13" t="s">
        <v>420</v>
      </c>
      <c r="B491" s="14">
        <v>6.4</v>
      </c>
    </row>
    <row r="492" spans="1:2" x14ac:dyDescent="0.35">
      <c r="A492" s="13" t="s">
        <v>118</v>
      </c>
      <c r="B492" s="14">
        <v>6.39</v>
      </c>
    </row>
    <row r="493" spans="1:2" x14ac:dyDescent="0.35">
      <c r="A493" s="13" t="s">
        <v>126</v>
      </c>
      <c r="B493" s="14">
        <v>6.39</v>
      </c>
    </row>
    <row r="494" spans="1:2" x14ac:dyDescent="0.35">
      <c r="A494" s="13" t="s">
        <v>266</v>
      </c>
      <c r="B494" s="14">
        <v>6.35</v>
      </c>
    </row>
    <row r="495" spans="1:2" x14ac:dyDescent="0.35">
      <c r="A495" s="13" t="s">
        <v>230</v>
      </c>
      <c r="B495" s="14">
        <v>6.29</v>
      </c>
    </row>
    <row r="496" spans="1:2" x14ac:dyDescent="0.35">
      <c r="A496" s="13" t="s">
        <v>597</v>
      </c>
      <c r="B496" s="14">
        <v>6.29</v>
      </c>
    </row>
    <row r="497" spans="1:2" x14ac:dyDescent="0.35">
      <c r="A497" s="13" t="s">
        <v>564</v>
      </c>
      <c r="B497" s="14">
        <v>6.28</v>
      </c>
    </row>
    <row r="498" spans="1:2" x14ac:dyDescent="0.35">
      <c r="A498" s="13" t="s">
        <v>478</v>
      </c>
      <c r="B498" s="14">
        <v>6.23</v>
      </c>
    </row>
    <row r="499" spans="1:2" x14ac:dyDescent="0.35">
      <c r="A499" s="13" t="s">
        <v>121</v>
      </c>
      <c r="B499" s="14">
        <v>6.16</v>
      </c>
    </row>
    <row r="500" spans="1:2" x14ac:dyDescent="0.35">
      <c r="A500" s="13" t="s">
        <v>451</v>
      </c>
      <c r="B500" s="14">
        <v>6.1</v>
      </c>
    </row>
    <row r="501" spans="1:2" x14ac:dyDescent="0.35">
      <c r="A501" s="13" t="s">
        <v>554</v>
      </c>
      <c r="B501" s="14">
        <v>6.09</v>
      </c>
    </row>
    <row r="502" spans="1:2" x14ac:dyDescent="0.35">
      <c r="A502" s="13" t="s">
        <v>265</v>
      </c>
      <c r="B502" s="14">
        <v>6</v>
      </c>
    </row>
    <row r="503" spans="1:2" x14ac:dyDescent="0.35">
      <c r="A503" s="13" t="s">
        <v>518</v>
      </c>
      <c r="B503" s="14">
        <v>5.99</v>
      </c>
    </row>
    <row r="504" spans="1:2" x14ac:dyDescent="0.35">
      <c r="A504" s="13" t="s">
        <v>88</v>
      </c>
      <c r="B504" s="14">
        <v>5.95</v>
      </c>
    </row>
    <row r="505" spans="1:2" x14ac:dyDescent="0.35">
      <c r="A505" s="13" t="s">
        <v>675</v>
      </c>
      <c r="B505" s="14">
        <v>5.95</v>
      </c>
    </row>
    <row r="506" spans="1:2" x14ac:dyDescent="0.35">
      <c r="A506" s="13" t="s">
        <v>339</v>
      </c>
      <c r="B506" s="14">
        <v>5.92</v>
      </c>
    </row>
    <row r="507" spans="1:2" x14ac:dyDescent="0.35">
      <c r="A507" s="13" t="s">
        <v>434</v>
      </c>
      <c r="B507" s="14">
        <v>5.9</v>
      </c>
    </row>
    <row r="508" spans="1:2" x14ac:dyDescent="0.35">
      <c r="A508" s="13" t="s">
        <v>271</v>
      </c>
      <c r="B508" s="14">
        <v>5.81</v>
      </c>
    </row>
    <row r="509" spans="1:2" x14ac:dyDescent="0.35">
      <c r="A509" s="13" t="s">
        <v>733</v>
      </c>
      <c r="B509" s="14">
        <v>5.78</v>
      </c>
    </row>
    <row r="510" spans="1:2" x14ac:dyDescent="0.35">
      <c r="A510" s="13" t="s">
        <v>54</v>
      </c>
      <c r="B510" s="14">
        <v>5.76</v>
      </c>
    </row>
    <row r="511" spans="1:2" x14ac:dyDescent="0.35">
      <c r="A511" s="13" t="s">
        <v>633</v>
      </c>
      <c r="B511" s="14">
        <v>5.76</v>
      </c>
    </row>
    <row r="512" spans="1:2" x14ac:dyDescent="0.35">
      <c r="A512" s="13" t="s">
        <v>96</v>
      </c>
      <c r="B512" s="14">
        <v>5.69</v>
      </c>
    </row>
    <row r="513" spans="1:2" x14ac:dyDescent="0.35">
      <c r="A513" s="13" t="s">
        <v>521</v>
      </c>
      <c r="B513" s="14">
        <v>5.63</v>
      </c>
    </row>
    <row r="514" spans="1:2" x14ac:dyDescent="0.35">
      <c r="A514" s="13" t="s">
        <v>452</v>
      </c>
      <c r="B514" s="14">
        <v>5.62</v>
      </c>
    </row>
    <row r="515" spans="1:2" x14ac:dyDescent="0.35">
      <c r="A515" s="13" t="s">
        <v>531</v>
      </c>
      <c r="B515" s="14">
        <v>5.56</v>
      </c>
    </row>
    <row r="516" spans="1:2" x14ac:dyDescent="0.35">
      <c r="A516" s="13" t="s">
        <v>250</v>
      </c>
      <c r="B516" s="14">
        <v>5.51</v>
      </c>
    </row>
    <row r="517" spans="1:2" x14ac:dyDescent="0.35">
      <c r="A517" s="13" t="s">
        <v>196</v>
      </c>
      <c r="B517" s="14">
        <v>5.47</v>
      </c>
    </row>
    <row r="518" spans="1:2" x14ac:dyDescent="0.35">
      <c r="A518" s="13" t="s">
        <v>460</v>
      </c>
      <c r="B518" s="14">
        <v>5.46</v>
      </c>
    </row>
    <row r="519" spans="1:2" x14ac:dyDescent="0.35">
      <c r="A519" s="13" t="s">
        <v>21</v>
      </c>
      <c r="B519" s="14">
        <v>5.45</v>
      </c>
    </row>
    <row r="520" spans="1:2" x14ac:dyDescent="0.35">
      <c r="A520" s="13" t="s">
        <v>617</v>
      </c>
      <c r="B520" s="14">
        <v>5.44</v>
      </c>
    </row>
    <row r="521" spans="1:2" x14ac:dyDescent="0.35">
      <c r="A521" s="13" t="s">
        <v>211</v>
      </c>
      <c r="B521" s="14">
        <v>5.4</v>
      </c>
    </row>
    <row r="522" spans="1:2" x14ac:dyDescent="0.35">
      <c r="A522" s="13" t="s">
        <v>235</v>
      </c>
      <c r="B522" s="14">
        <v>5.24</v>
      </c>
    </row>
    <row r="523" spans="1:2" x14ac:dyDescent="0.35">
      <c r="A523" s="13" t="s">
        <v>367</v>
      </c>
      <c r="B523" s="14">
        <v>5.22</v>
      </c>
    </row>
    <row r="524" spans="1:2" x14ac:dyDescent="0.35">
      <c r="A524" s="13" t="s">
        <v>349</v>
      </c>
      <c r="B524" s="14">
        <v>5.21</v>
      </c>
    </row>
    <row r="525" spans="1:2" x14ac:dyDescent="0.35">
      <c r="A525" s="13" t="s">
        <v>449</v>
      </c>
      <c r="B525" s="14">
        <v>5.16</v>
      </c>
    </row>
    <row r="526" spans="1:2" x14ac:dyDescent="0.35">
      <c r="A526" s="13" t="s">
        <v>4</v>
      </c>
      <c r="B526" s="14">
        <v>5.13</v>
      </c>
    </row>
    <row r="527" spans="1:2" x14ac:dyDescent="0.35">
      <c r="A527" s="13" t="s">
        <v>508</v>
      </c>
      <c r="B527" s="14">
        <v>5.1100000000000003</v>
      </c>
    </row>
    <row r="528" spans="1:2" x14ac:dyDescent="0.35">
      <c r="A528" s="13" t="s">
        <v>91</v>
      </c>
      <c r="B528" s="14">
        <v>4.9000000000000004</v>
      </c>
    </row>
    <row r="529" spans="1:2" x14ac:dyDescent="0.35">
      <c r="A529" s="13" t="s">
        <v>555</v>
      </c>
      <c r="B529" s="14">
        <v>4.8899999999999997</v>
      </c>
    </row>
    <row r="530" spans="1:2" x14ac:dyDescent="0.35">
      <c r="A530" s="13" t="s">
        <v>321</v>
      </c>
      <c r="B530" s="14">
        <v>4.87</v>
      </c>
    </row>
    <row r="531" spans="1:2" x14ac:dyDescent="0.35">
      <c r="A531" s="13" t="s">
        <v>272</v>
      </c>
      <c r="B531" s="14">
        <v>4.8499999999999996</v>
      </c>
    </row>
    <row r="532" spans="1:2" x14ac:dyDescent="0.35">
      <c r="A532" s="13" t="s">
        <v>516</v>
      </c>
      <c r="B532" s="14">
        <v>4.83</v>
      </c>
    </row>
    <row r="533" spans="1:2" x14ac:dyDescent="0.35">
      <c r="A533" s="13" t="s">
        <v>193</v>
      </c>
      <c r="B533" s="14">
        <v>4.8099999999999996</v>
      </c>
    </row>
    <row r="534" spans="1:2" x14ac:dyDescent="0.35">
      <c r="A534" s="13" t="s">
        <v>86</v>
      </c>
      <c r="B534" s="14">
        <v>4.8</v>
      </c>
    </row>
    <row r="535" spans="1:2" x14ac:dyDescent="0.35">
      <c r="A535" s="13" t="s">
        <v>277</v>
      </c>
      <c r="B535" s="14">
        <v>4.7699999999999996</v>
      </c>
    </row>
    <row r="536" spans="1:2" x14ac:dyDescent="0.35">
      <c r="A536" s="13" t="s">
        <v>636</v>
      </c>
      <c r="B536" s="14">
        <v>4.76</v>
      </c>
    </row>
    <row r="537" spans="1:2" x14ac:dyDescent="0.35">
      <c r="A537" s="13" t="s">
        <v>716</v>
      </c>
      <c r="B537" s="14">
        <v>4.76</v>
      </c>
    </row>
    <row r="538" spans="1:2" x14ac:dyDescent="0.35">
      <c r="A538" s="13" t="s">
        <v>16</v>
      </c>
      <c r="B538" s="14">
        <v>4.7300000000000004</v>
      </c>
    </row>
    <row r="539" spans="1:2" x14ac:dyDescent="0.35">
      <c r="A539" s="13" t="s">
        <v>721</v>
      </c>
      <c r="B539" s="14">
        <v>4.71</v>
      </c>
    </row>
    <row r="540" spans="1:2" x14ac:dyDescent="0.35">
      <c r="A540" s="13" t="s">
        <v>713</v>
      </c>
      <c r="B540" s="14">
        <v>4.7</v>
      </c>
    </row>
    <row r="541" spans="1:2" x14ac:dyDescent="0.35">
      <c r="A541" s="13" t="s">
        <v>60</v>
      </c>
      <c r="B541" s="14">
        <v>4.6900000000000004</v>
      </c>
    </row>
    <row r="542" spans="1:2" x14ac:dyDescent="0.35">
      <c r="A542" s="13" t="s">
        <v>379</v>
      </c>
      <c r="B542" s="14">
        <v>4.68</v>
      </c>
    </row>
    <row r="543" spans="1:2" x14ac:dyDescent="0.35">
      <c r="A543" s="13" t="s">
        <v>264</v>
      </c>
      <c r="B543" s="14">
        <v>4.6500000000000004</v>
      </c>
    </row>
    <row r="544" spans="1:2" x14ac:dyDescent="0.35">
      <c r="A544" s="13" t="s">
        <v>607</v>
      </c>
      <c r="B544" s="14">
        <v>4.63</v>
      </c>
    </row>
    <row r="545" spans="1:2" x14ac:dyDescent="0.35">
      <c r="A545" s="13" t="s">
        <v>359</v>
      </c>
      <c r="B545" s="14">
        <v>4.5999999999999996</v>
      </c>
    </row>
    <row r="546" spans="1:2" x14ac:dyDescent="0.35">
      <c r="A546" s="13" t="s">
        <v>328</v>
      </c>
      <c r="B546" s="14">
        <v>4.51</v>
      </c>
    </row>
    <row r="547" spans="1:2" x14ac:dyDescent="0.35">
      <c r="A547" s="13" t="s">
        <v>386</v>
      </c>
      <c r="B547" s="14">
        <v>4.4800000000000004</v>
      </c>
    </row>
    <row r="548" spans="1:2" x14ac:dyDescent="0.35">
      <c r="A548" s="13" t="s">
        <v>621</v>
      </c>
      <c r="B548" s="14">
        <v>4.4800000000000004</v>
      </c>
    </row>
    <row r="549" spans="1:2" x14ac:dyDescent="0.35">
      <c r="A549" s="13" t="s">
        <v>711</v>
      </c>
      <c r="B549" s="14">
        <v>4.4800000000000004</v>
      </c>
    </row>
    <row r="550" spans="1:2" x14ac:dyDescent="0.35">
      <c r="A550" s="13" t="s">
        <v>158</v>
      </c>
      <c r="B550" s="14">
        <v>4.47</v>
      </c>
    </row>
    <row r="551" spans="1:2" x14ac:dyDescent="0.35">
      <c r="A551" s="13" t="s">
        <v>312</v>
      </c>
      <c r="B551" s="14">
        <v>4.47</v>
      </c>
    </row>
    <row r="552" spans="1:2" x14ac:dyDescent="0.35">
      <c r="A552" s="13" t="s">
        <v>34</v>
      </c>
      <c r="B552" s="14">
        <v>4.45</v>
      </c>
    </row>
    <row r="553" spans="1:2" x14ac:dyDescent="0.35">
      <c r="A553" s="13" t="s">
        <v>387</v>
      </c>
      <c r="B553" s="14">
        <v>4.37</v>
      </c>
    </row>
    <row r="554" spans="1:2" x14ac:dyDescent="0.35">
      <c r="A554" s="13" t="s">
        <v>715</v>
      </c>
      <c r="B554" s="14">
        <v>4.3600000000000003</v>
      </c>
    </row>
    <row r="555" spans="1:2" x14ac:dyDescent="0.35">
      <c r="A555" s="13" t="s">
        <v>468</v>
      </c>
      <c r="B555" s="14">
        <v>4.33</v>
      </c>
    </row>
    <row r="556" spans="1:2" x14ac:dyDescent="0.35">
      <c r="A556" s="13" t="s">
        <v>646</v>
      </c>
      <c r="B556" s="14">
        <v>4.33</v>
      </c>
    </row>
    <row r="557" spans="1:2" x14ac:dyDescent="0.35">
      <c r="A557" s="13" t="s">
        <v>525</v>
      </c>
      <c r="B557" s="14">
        <v>4.3</v>
      </c>
    </row>
    <row r="558" spans="1:2" x14ac:dyDescent="0.35">
      <c r="A558" s="13" t="s">
        <v>709</v>
      </c>
      <c r="B558" s="14">
        <v>4.3</v>
      </c>
    </row>
    <row r="559" spans="1:2" x14ac:dyDescent="0.35">
      <c r="A559" s="13" t="s">
        <v>637</v>
      </c>
      <c r="B559" s="14">
        <v>4.26</v>
      </c>
    </row>
    <row r="560" spans="1:2" x14ac:dyDescent="0.35">
      <c r="A560" s="13" t="s">
        <v>234</v>
      </c>
      <c r="B560" s="14">
        <v>4.24</v>
      </c>
    </row>
    <row r="561" spans="1:2" x14ac:dyDescent="0.35">
      <c r="A561" s="13" t="s">
        <v>523</v>
      </c>
      <c r="B561" s="14">
        <v>4.24</v>
      </c>
    </row>
    <row r="562" spans="1:2" x14ac:dyDescent="0.35">
      <c r="A562" s="13" t="s">
        <v>467</v>
      </c>
      <c r="B562" s="14">
        <v>4.1500000000000004</v>
      </c>
    </row>
    <row r="563" spans="1:2" x14ac:dyDescent="0.35">
      <c r="A563" s="13" t="s">
        <v>472</v>
      </c>
      <c r="B563" s="14">
        <v>4.09</v>
      </c>
    </row>
    <row r="564" spans="1:2" x14ac:dyDescent="0.35">
      <c r="A564" s="13" t="s">
        <v>69</v>
      </c>
      <c r="B564" s="14">
        <v>4.08</v>
      </c>
    </row>
    <row r="565" spans="1:2" x14ac:dyDescent="0.35">
      <c r="A565" s="13" t="s">
        <v>635</v>
      </c>
      <c r="B565" s="14">
        <v>4.03</v>
      </c>
    </row>
    <row r="566" spans="1:2" x14ac:dyDescent="0.35">
      <c r="A566" s="13" t="s">
        <v>103</v>
      </c>
      <c r="B566" s="14">
        <v>4.0199999999999996</v>
      </c>
    </row>
    <row r="567" spans="1:2" x14ac:dyDescent="0.35">
      <c r="A567" s="13" t="s">
        <v>215</v>
      </c>
      <c r="B567" s="14">
        <v>4.0199999999999996</v>
      </c>
    </row>
    <row r="568" spans="1:2" x14ac:dyDescent="0.35">
      <c r="A568" s="13" t="s">
        <v>630</v>
      </c>
      <c r="B568" s="14">
        <v>4.0199999999999996</v>
      </c>
    </row>
    <row r="569" spans="1:2" x14ac:dyDescent="0.35">
      <c r="A569" s="13" t="s">
        <v>184</v>
      </c>
      <c r="B569" s="14">
        <v>4.01</v>
      </c>
    </row>
    <row r="570" spans="1:2" x14ac:dyDescent="0.35">
      <c r="A570" s="13" t="s">
        <v>550</v>
      </c>
      <c r="B570" s="14">
        <v>4.01</v>
      </c>
    </row>
    <row r="571" spans="1:2" x14ac:dyDescent="0.35">
      <c r="A571" s="13" t="s">
        <v>71</v>
      </c>
      <c r="B571" s="14">
        <v>3.97</v>
      </c>
    </row>
    <row r="572" spans="1:2" x14ac:dyDescent="0.35">
      <c r="A572" s="13" t="s">
        <v>47</v>
      </c>
      <c r="B572" s="14">
        <v>3.93</v>
      </c>
    </row>
    <row r="573" spans="1:2" x14ac:dyDescent="0.35">
      <c r="A573" s="13" t="s">
        <v>236</v>
      </c>
      <c r="B573" s="14">
        <v>3.93</v>
      </c>
    </row>
    <row r="574" spans="1:2" x14ac:dyDescent="0.35">
      <c r="A574" s="13" t="s">
        <v>398</v>
      </c>
      <c r="B574" s="14">
        <v>3.93</v>
      </c>
    </row>
    <row r="575" spans="1:2" x14ac:dyDescent="0.35">
      <c r="A575" s="13" t="s">
        <v>388</v>
      </c>
      <c r="B575" s="14">
        <v>3.88</v>
      </c>
    </row>
    <row r="576" spans="1:2" x14ac:dyDescent="0.35">
      <c r="A576" s="13" t="s">
        <v>191</v>
      </c>
      <c r="B576" s="14">
        <v>3.87</v>
      </c>
    </row>
    <row r="577" spans="1:2" x14ac:dyDescent="0.35">
      <c r="A577" s="13" t="s">
        <v>372</v>
      </c>
      <c r="B577" s="14">
        <v>3.85</v>
      </c>
    </row>
    <row r="578" spans="1:2" x14ac:dyDescent="0.35">
      <c r="A578" s="13" t="s">
        <v>827</v>
      </c>
      <c r="B578" s="14">
        <v>3.8</v>
      </c>
    </row>
    <row r="579" spans="1:2" x14ac:dyDescent="0.35">
      <c r="A579" s="13" t="s">
        <v>581</v>
      </c>
      <c r="B579" s="14">
        <v>3.78</v>
      </c>
    </row>
    <row r="580" spans="1:2" x14ac:dyDescent="0.35">
      <c r="A580" s="13" t="s">
        <v>506</v>
      </c>
      <c r="B580" s="14">
        <v>3.75</v>
      </c>
    </row>
    <row r="581" spans="1:2" x14ac:dyDescent="0.35">
      <c r="A581" s="13" t="s">
        <v>522</v>
      </c>
      <c r="B581" s="14">
        <v>3.72</v>
      </c>
    </row>
    <row r="582" spans="1:2" x14ac:dyDescent="0.35">
      <c r="A582" s="13" t="s">
        <v>726</v>
      </c>
      <c r="B582" s="14">
        <v>3.72</v>
      </c>
    </row>
    <row r="583" spans="1:2" x14ac:dyDescent="0.35">
      <c r="A583" s="13" t="s">
        <v>717</v>
      </c>
      <c r="B583" s="14">
        <v>3.69</v>
      </c>
    </row>
    <row r="584" spans="1:2" x14ac:dyDescent="0.35">
      <c r="A584" s="13" t="s">
        <v>180</v>
      </c>
      <c r="B584" s="14">
        <v>3.68</v>
      </c>
    </row>
    <row r="585" spans="1:2" x14ac:dyDescent="0.35">
      <c r="A585" s="13" t="s">
        <v>512</v>
      </c>
      <c r="B585" s="14">
        <v>3.67</v>
      </c>
    </row>
    <row r="586" spans="1:2" x14ac:dyDescent="0.35">
      <c r="A586" s="13" t="s">
        <v>12</v>
      </c>
      <c r="B586" s="14">
        <v>3.66</v>
      </c>
    </row>
    <row r="587" spans="1:2" x14ac:dyDescent="0.35">
      <c r="A587" s="13" t="s">
        <v>66</v>
      </c>
      <c r="B587" s="14">
        <v>3.66</v>
      </c>
    </row>
    <row r="588" spans="1:2" x14ac:dyDescent="0.35">
      <c r="A588" s="13" t="s">
        <v>189</v>
      </c>
      <c r="B588" s="14">
        <v>3.64</v>
      </c>
    </row>
    <row r="589" spans="1:2" x14ac:dyDescent="0.35">
      <c r="A589" s="13" t="s">
        <v>326</v>
      </c>
      <c r="B589" s="14">
        <v>3.63</v>
      </c>
    </row>
    <row r="590" spans="1:2" x14ac:dyDescent="0.35">
      <c r="A590" s="13" t="s">
        <v>65</v>
      </c>
      <c r="B590" s="14">
        <v>3.62</v>
      </c>
    </row>
    <row r="591" spans="1:2" x14ac:dyDescent="0.35">
      <c r="A591" s="13" t="s">
        <v>212</v>
      </c>
      <c r="B591" s="14">
        <v>3.55</v>
      </c>
    </row>
    <row r="592" spans="1:2" x14ac:dyDescent="0.35">
      <c r="A592" s="13" t="s">
        <v>83</v>
      </c>
      <c r="B592" s="14">
        <v>3.54</v>
      </c>
    </row>
    <row r="593" spans="1:2" x14ac:dyDescent="0.35">
      <c r="A593" s="13" t="s">
        <v>213</v>
      </c>
      <c r="B593" s="14">
        <v>3.53</v>
      </c>
    </row>
    <row r="594" spans="1:2" x14ac:dyDescent="0.35">
      <c r="A594" s="13" t="s">
        <v>77</v>
      </c>
      <c r="B594" s="14">
        <v>3.52</v>
      </c>
    </row>
    <row r="595" spans="1:2" x14ac:dyDescent="0.35">
      <c r="A595" s="13" t="s">
        <v>14</v>
      </c>
      <c r="B595" s="14">
        <v>3.5</v>
      </c>
    </row>
    <row r="596" spans="1:2" x14ac:dyDescent="0.35">
      <c r="A596" s="13" t="s">
        <v>540</v>
      </c>
      <c r="B596" s="14">
        <v>3.5</v>
      </c>
    </row>
    <row r="597" spans="1:2" x14ac:dyDescent="0.35">
      <c r="A597" s="13" t="s">
        <v>94</v>
      </c>
      <c r="B597" s="14">
        <v>3.46</v>
      </c>
    </row>
    <row r="598" spans="1:2" x14ac:dyDescent="0.35">
      <c r="A598" s="13" t="s">
        <v>792</v>
      </c>
      <c r="B598" s="14">
        <v>3.45</v>
      </c>
    </row>
    <row r="599" spans="1:2" x14ac:dyDescent="0.35">
      <c r="A599" s="13" t="s">
        <v>194</v>
      </c>
      <c r="B599" s="14">
        <v>3.45</v>
      </c>
    </row>
    <row r="600" spans="1:2" x14ac:dyDescent="0.35">
      <c r="A600" s="13" t="s">
        <v>503</v>
      </c>
      <c r="B600" s="14">
        <v>3.43</v>
      </c>
    </row>
    <row r="601" spans="1:2" x14ac:dyDescent="0.35">
      <c r="A601" s="13" t="s">
        <v>694</v>
      </c>
      <c r="B601" s="14">
        <v>3.36</v>
      </c>
    </row>
    <row r="602" spans="1:2" x14ac:dyDescent="0.35">
      <c r="A602" s="13" t="s">
        <v>698</v>
      </c>
      <c r="B602" s="14">
        <v>3.35</v>
      </c>
    </row>
    <row r="603" spans="1:2" x14ac:dyDescent="0.35">
      <c r="A603" s="13" t="s">
        <v>640</v>
      </c>
      <c r="B603" s="14">
        <v>3.34</v>
      </c>
    </row>
    <row r="604" spans="1:2" x14ac:dyDescent="0.35">
      <c r="A604" s="13" t="s">
        <v>181</v>
      </c>
      <c r="B604" s="14">
        <v>3.31</v>
      </c>
    </row>
    <row r="605" spans="1:2" x14ac:dyDescent="0.35">
      <c r="A605" s="13" t="s">
        <v>571</v>
      </c>
      <c r="B605" s="14">
        <v>3.31</v>
      </c>
    </row>
    <row r="606" spans="1:2" x14ac:dyDescent="0.35">
      <c r="A606" s="13" t="s">
        <v>685</v>
      </c>
      <c r="B606" s="14">
        <v>3.26</v>
      </c>
    </row>
    <row r="607" spans="1:2" x14ac:dyDescent="0.35">
      <c r="A607" s="13" t="s">
        <v>736</v>
      </c>
      <c r="B607" s="14">
        <v>3.26</v>
      </c>
    </row>
    <row r="608" spans="1:2" x14ac:dyDescent="0.35">
      <c r="A608" s="13" t="s">
        <v>424</v>
      </c>
      <c r="B608" s="14">
        <v>3.25</v>
      </c>
    </row>
    <row r="609" spans="1:2" x14ac:dyDescent="0.35">
      <c r="A609" s="13" t="s">
        <v>132</v>
      </c>
      <c r="B609" s="14">
        <v>3.19</v>
      </c>
    </row>
    <row r="610" spans="1:2" x14ac:dyDescent="0.35">
      <c r="A610" s="13" t="s">
        <v>524</v>
      </c>
      <c r="B610" s="14">
        <v>3.17</v>
      </c>
    </row>
    <row r="611" spans="1:2" x14ac:dyDescent="0.35">
      <c r="A611" s="13" t="s">
        <v>263</v>
      </c>
      <c r="B611" s="14">
        <v>3.12</v>
      </c>
    </row>
    <row r="612" spans="1:2" x14ac:dyDescent="0.35">
      <c r="A612" s="13" t="s">
        <v>656</v>
      </c>
      <c r="B612" s="14">
        <v>3.12</v>
      </c>
    </row>
    <row r="613" spans="1:2" x14ac:dyDescent="0.35">
      <c r="A613" s="13" t="s">
        <v>309</v>
      </c>
      <c r="B613" s="14">
        <v>3.11</v>
      </c>
    </row>
    <row r="614" spans="1:2" x14ac:dyDescent="0.35">
      <c r="A614" s="13" t="s">
        <v>676</v>
      </c>
      <c r="B614" s="14">
        <v>3.11</v>
      </c>
    </row>
    <row r="615" spans="1:2" x14ac:dyDescent="0.35">
      <c r="A615" s="13" t="s">
        <v>187</v>
      </c>
      <c r="B615" s="14">
        <v>3.07</v>
      </c>
    </row>
    <row r="616" spans="1:2" x14ac:dyDescent="0.35">
      <c r="A616" s="13" t="s">
        <v>414</v>
      </c>
      <c r="B616" s="14">
        <v>3.07</v>
      </c>
    </row>
    <row r="617" spans="1:2" x14ac:dyDescent="0.35">
      <c r="A617" s="13" t="s">
        <v>688</v>
      </c>
      <c r="B617" s="14">
        <v>3.07</v>
      </c>
    </row>
    <row r="618" spans="1:2" x14ac:dyDescent="0.35">
      <c r="A618" s="13" t="s">
        <v>433</v>
      </c>
      <c r="B618" s="14">
        <v>3.05</v>
      </c>
    </row>
    <row r="619" spans="1:2" x14ac:dyDescent="0.35">
      <c r="A619" s="13" t="s">
        <v>594</v>
      </c>
      <c r="B619" s="14">
        <v>3.05</v>
      </c>
    </row>
    <row r="620" spans="1:2" x14ac:dyDescent="0.35">
      <c r="A620" s="13" t="s">
        <v>390</v>
      </c>
      <c r="B620" s="14">
        <v>3.02</v>
      </c>
    </row>
    <row r="621" spans="1:2" x14ac:dyDescent="0.35">
      <c r="A621" s="13" t="s">
        <v>497</v>
      </c>
      <c r="B621" s="14">
        <v>3</v>
      </c>
    </row>
    <row r="622" spans="1:2" x14ac:dyDescent="0.35">
      <c r="A622" s="13" t="s">
        <v>224</v>
      </c>
      <c r="B622" s="14">
        <v>2.98</v>
      </c>
    </row>
    <row r="623" spans="1:2" x14ac:dyDescent="0.35">
      <c r="A623" s="13" t="s">
        <v>445</v>
      </c>
      <c r="B623" s="14">
        <v>2.97</v>
      </c>
    </row>
    <row r="624" spans="1:2" x14ac:dyDescent="0.35">
      <c r="A624" s="13" t="s">
        <v>225</v>
      </c>
      <c r="B624" s="14">
        <v>2.93</v>
      </c>
    </row>
    <row r="625" spans="1:2" x14ac:dyDescent="0.35">
      <c r="A625" s="13" t="s">
        <v>344</v>
      </c>
      <c r="B625" s="14">
        <v>2.93</v>
      </c>
    </row>
    <row r="626" spans="1:2" x14ac:dyDescent="0.35">
      <c r="A626" s="13" t="s">
        <v>361</v>
      </c>
      <c r="B626" s="14">
        <v>2.86</v>
      </c>
    </row>
    <row r="627" spans="1:2" x14ac:dyDescent="0.35">
      <c r="A627" s="13" t="s">
        <v>538</v>
      </c>
      <c r="B627" s="14">
        <v>2.84</v>
      </c>
    </row>
    <row r="628" spans="1:2" x14ac:dyDescent="0.35">
      <c r="A628" s="13" t="s">
        <v>281</v>
      </c>
      <c r="B628" s="14">
        <v>2.83</v>
      </c>
    </row>
    <row r="629" spans="1:2" x14ac:dyDescent="0.35">
      <c r="A629" s="13" t="s">
        <v>369</v>
      </c>
      <c r="B629" s="14">
        <v>2.83</v>
      </c>
    </row>
    <row r="630" spans="1:2" x14ac:dyDescent="0.35">
      <c r="A630" s="13" t="s">
        <v>274</v>
      </c>
      <c r="B630" s="14">
        <v>2.81</v>
      </c>
    </row>
    <row r="631" spans="1:2" x14ac:dyDescent="0.35">
      <c r="A631" s="13" t="s">
        <v>435</v>
      </c>
      <c r="B631" s="14">
        <v>2.79</v>
      </c>
    </row>
    <row r="632" spans="1:2" x14ac:dyDescent="0.35">
      <c r="A632" s="13" t="s">
        <v>528</v>
      </c>
      <c r="B632" s="14">
        <v>2.77</v>
      </c>
    </row>
    <row r="633" spans="1:2" x14ac:dyDescent="0.35">
      <c r="A633" s="13" t="s">
        <v>350</v>
      </c>
      <c r="B633" s="14">
        <v>2.7</v>
      </c>
    </row>
    <row r="634" spans="1:2" x14ac:dyDescent="0.35">
      <c r="A634" s="13" t="s">
        <v>232</v>
      </c>
      <c r="B634" s="14">
        <v>2.69</v>
      </c>
    </row>
    <row r="635" spans="1:2" x14ac:dyDescent="0.35">
      <c r="A635" s="13" t="s">
        <v>501</v>
      </c>
      <c r="B635" s="14">
        <v>2.66</v>
      </c>
    </row>
    <row r="636" spans="1:2" x14ac:dyDescent="0.35">
      <c r="A636" s="13" t="s">
        <v>547</v>
      </c>
      <c r="B636" s="14">
        <v>2.66</v>
      </c>
    </row>
    <row r="637" spans="1:2" x14ac:dyDescent="0.35">
      <c r="A637" s="13" t="s">
        <v>533</v>
      </c>
      <c r="B637" s="14">
        <v>2.65</v>
      </c>
    </row>
    <row r="638" spans="1:2" x14ac:dyDescent="0.35">
      <c r="A638" s="13" t="s">
        <v>155</v>
      </c>
      <c r="B638" s="14">
        <v>2.63</v>
      </c>
    </row>
    <row r="639" spans="1:2" x14ac:dyDescent="0.35">
      <c r="A639" s="13" t="s">
        <v>453</v>
      </c>
      <c r="B639" s="14">
        <v>2.63</v>
      </c>
    </row>
    <row r="640" spans="1:2" x14ac:dyDescent="0.35">
      <c r="A640" s="13" t="s">
        <v>643</v>
      </c>
      <c r="B640" s="14">
        <v>2.61</v>
      </c>
    </row>
    <row r="641" spans="1:2" x14ac:dyDescent="0.35">
      <c r="A641" s="13" t="s">
        <v>300</v>
      </c>
      <c r="B641" s="14">
        <v>2.56</v>
      </c>
    </row>
    <row r="642" spans="1:2" x14ac:dyDescent="0.35">
      <c r="A642" s="13" t="s">
        <v>238</v>
      </c>
      <c r="B642" s="14">
        <v>2.5099999999999998</v>
      </c>
    </row>
    <row r="643" spans="1:2" x14ac:dyDescent="0.35">
      <c r="A643" s="13" t="s">
        <v>504</v>
      </c>
      <c r="B643" s="14">
        <v>2.4900000000000002</v>
      </c>
    </row>
    <row r="644" spans="1:2" x14ac:dyDescent="0.35">
      <c r="A644" s="13" t="s">
        <v>291</v>
      </c>
      <c r="B644" s="14">
        <v>2.48</v>
      </c>
    </row>
    <row r="645" spans="1:2" x14ac:dyDescent="0.35">
      <c r="A645" s="13" t="s">
        <v>296</v>
      </c>
      <c r="B645" s="14">
        <v>2.38</v>
      </c>
    </row>
    <row r="646" spans="1:2" x14ac:dyDescent="0.35">
      <c r="A646" s="13" t="s">
        <v>488</v>
      </c>
      <c r="B646" s="14">
        <v>2.38</v>
      </c>
    </row>
    <row r="647" spans="1:2" x14ac:dyDescent="0.35">
      <c r="A647" s="13" t="s">
        <v>308</v>
      </c>
      <c r="B647" s="14">
        <v>2.36</v>
      </c>
    </row>
    <row r="648" spans="1:2" x14ac:dyDescent="0.35">
      <c r="A648" s="13" t="s">
        <v>492</v>
      </c>
      <c r="B648" s="14">
        <v>2.36</v>
      </c>
    </row>
    <row r="649" spans="1:2" x14ac:dyDescent="0.35">
      <c r="A649" s="13" t="s">
        <v>115</v>
      </c>
      <c r="B649" s="14">
        <v>2.29</v>
      </c>
    </row>
    <row r="650" spans="1:2" x14ac:dyDescent="0.35">
      <c r="A650" s="13" t="s">
        <v>310</v>
      </c>
      <c r="B650" s="14">
        <v>2.2599999999999998</v>
      </c>
    </row>
    <row r="651" spans="1:2" x14ac:dyDescent="0.35">
      <c r="A651" s="13" t="s">
        <v>381</v>
      </c>
      <c r="B651" s="14">
        <v>2.2599999999999998</v>
      </c>
    </row>
    <row r="652" spans="1:2" x14ac:dyDescent="0.35">
      <c r="A652" s="13" t="s">
        <v>625</v>
      </c>
      <c r="B652" s="14">
        <v>2.2200000000000002</v>
      </c>
    </row>
    <row r="653" spans="1:2" x14ac:dyDescent="0.35">
      <c r="A653" s="13" t="s">
        <v>25</v>
      </c>
      <c r="B653" s="14">
        <v>2.2000000000000002</v>
      </c>
    </row>
    <row r="654" spans="1:2" x14ac:dyDescent="0.35">
      <c r="A654" s="13" t="s">
        <v>666</v>
      </c>
      <c r="B654" s="14">
        <v>2.1800000000000002</v>
      </c>
    </row>
    <row r="655" spans="1:2" x14ac:dyDescent="0.35">
      <c r="A655" s="13" t="s">
        <v>496</v>
      </c>
      <c r="B655" s="14">
        <v>2.16</v>
      </c>
    </row>
    <row r="656" spans="1:2" x14ac:dyDescent="0.35">
      <c r="A656" s="13" t="s">
        <v>415</v>
      </c>
      <c r="B656" s="14">
        <v>2.08</v>
      </c>
    </row>
    <row r="657" spans="1:2" x14ac:dyDescent="0.35">
      <c r="A657" s="13" t="s">
        <v>517</v>
      </c>
      <c r="B657" s="14">
        <v>2.0699999999999998</v>
      </c>
    </row>
    <row r="658" spans="1:2" x14ac:dyDescent="0.35">
      <c r="A658" s="13" t="s">
        <v>76</v>
      </c>
      <c r="B658" s="14">
        <v>2.06</v>
      </c>
    </row>
    <row r="659" spans="1:2" x14ac:dyDescent="0.35">
      <c r="A659" s="13" t="s">
        <v>276</v>
      </c>
      <c r="B659" s="14">
        <v>2.0499999999999998</v>
      </c>
    </row>
    <row r="660" spans="1:2" x14ac:dyDescent="0.35">
      <c r="A660" s="13" t="s">
        <v>376</v>
      </c>
      <c r="B660" s="14">
        <v>2.0499999999999998</v>
      </c>
    </row>
    <row r="661" spans="1:2" x14ac:dyDescent="0.35">
      <c r="A661" s="13" t="s">
        <v>552</v>
      </c>
      <c r="B661" s="14">
        <v>2.0499999999999998</v>
      </c>
    </row>
    <row r="662" spans="1:2" x14ac:dyDescent="0.35">
      <c r="A662" s="13" t="s">
        <v>363</v>
      </c>
      <c r="B662" s="14">
        <v>2.0299999999999998</v>
      </c>
    </row>
    <row r="663" spans="1:2" x14ac:dyDescent="0.35">
      <c r="A663" s="13" t="s">
        <v>565</v>
      </c>
      <c r="B663" s="14">
        <v>2.02</v>
      </c>
    </row>
    <row r="664" spans="1:2" x14ac:dyDescent="0.35">
      <c r="A664" s="13" t="s">
        <v>75</v>
      </c>
      <c r="B664" s="14">
        <v>2</v>
      </c>
    </row>
    <row r="665" spans="1:2" x14ac:dyDescent="0.35">
      <c r="A665" s="13" t="s">
        <v>377</v>
      </c>
      <c r="B665" s="14">
        <v>2</v>
      </c>
    </row>
    <row r="666" spans="1:2" x14ac:dyDescent="0.35">
      <c r="A666" s="13" t="s">
        <v>655</v>
      </c>
      <c r="B666" s="14">
        <v>1.96</v>
      </c>
    </row>
    <row r="667" spans="1:2" x14ac:dyDescent="0.35">
      <c r="A667" s="13" t="s">
        <v>284</v>
      </c>
      <c r="B667" s="14">
        <v>1.94</v>
      </c>
    </row>
    <row r="668" spans="1:2" x14ac:dyDescent="0.35">
      <c r="A668" s="13" t="s">
        <v>487</v>
      </c>
      <c r="B668" s="14">
        <v>1.93</v>
      </c>
    </row>
    <row r="669" spans="1:2" x14ac:dyDescent="0.35">
      <c r="A669" s="13" t="s">
        <v>342</v>
      </c>
      <c r="B669" s="14">
        <v>1.92</v>
      </c>
    </row>
    <row r="670" spans="1:2" x14ac:dyDescent="0.35">
      <c r="A670" s="13" t="s">
        <v>92</v>
      </c>
      <c r="B670" s="14">
        <v>1.91</v>
      </c>
    </row>
    <row r="671" spans="1:2" x14ac:dyDescent="0.35">
      <c r="A671" s="13" t="s">
        <v>568</v>
      </c>
      <c r="B671" s="14">
        <v>1.9</v>
      </c>
    </row>
    <row r="672" spans="1:2" x14ac:dyDescent="0.35">
      <c r="A672" s="13" t="s">
        <v>483</v>
      </c>
      <c r="B672" s="14">
        <v>1.89</v>
      </c>
    </row>
    <row r="673" spans="1:2" x14ac:dyDescent="0.35">
      <c r="A673" s="13" t="s">
        <v>500</v>
      </c>
      <c r="B673" s="14">
        <v>1.89</v>
      </c>
    </row>
    <row r="674" spans="1:2" x14ac:dyDescent="0.35">
      <c r="A674" s="13" t="s">
        <v>514</v>
      </c>
      <c r="B674" s="14">
        <v>1.89</v>
      </c>
    </row>
    <row r="675" spans="1:2" x14ac:dyDescent="0.35">
      <c r="A675" s="13" t="s">
        <v>87</v>
      </c>
      <c r="B675" s="14">
        <v>1.88</v>
      </c>
    </row>
    <row r="676" spans="1:2" x14ac:dyDescent="0.35">
      <c r="A676" s="13" t="s">
        <v>257</v>
      </c>
      <c r="B676" s="14">
        <v>1.88</v>
      </c>
    </row>
    <row r="677" spans="1:2" x14ac:dyDescent="0.35">
      <c r="A677" s="13" t="s">
        <v>603</v>
      </c>
      <c r="B677" s="14">
        <v>1.86</v>
      </c>
    </row>
    <row r="678" spans="1:2" x14ac:dyDescent="0.35">
      <c r="A678" s="13" t="s">
        <v>23</v>
      </c>
      <c r="B678" s="14">
        <v>1.85</v>
      </c>
    </row>
    <row r="679" spans="1:2" x14ac:dyDescent="0.35">
      <c r="A679" s="13" t="s">
        <v>99</v>
      </c>
      <c r="B679" s="14">
        <v>1.85</v>
      </c>
    </row>
    <row r="680" spans="1:2" x14ac:dyDescent="0.35">
      <c r="A680" s="13" t="s">
        <v>515</v>
      </c>
      <c r="B680" s="14">
        <v>1.82</v>
      </c>
    </row>
    <row r="681" spans="1:2" x14ac:dyDescent="0.35">
      <c r="A681" s="13" t="s">
        <v>190</v>
      </c>
      <c r="B681" s="14">
        <v>1.81</v>
      </c>
    </row>
    <row r="682" spans="1:2" x14ac:dyDescent="0.35">
      <c r="A682" s="13" t="s">
        <v>440</v>
      </c>
      <c r="B682" s="14">
        <v>1.81</v>
      </c>
    </row>
    <row r="683" spans="1:2" x14ac:dyDescent="0.35">
      <c r="A683" s="13" t="s">
        <v>861</v>
      </c>
      <c r="B683" s="14">
        <v>1.81</v>
      </c>
    </row>
    <row r="684" spans="1:2" x14ac:dyDescent="0.35">
      <c r="A684" s="13" t="s">
        <v>590</v>
      </c>
      <c r="B684" s="14">
        <v>1.81</v>
      </c>
    </row>
    <row r="685" spans="1:2" x14ac:dyDescent="0.35">
      <c r="A685" s="13" t="s">
        <v>167</v>
      </c>
      <c r="B685" s="14">
        <v>1.8</v>
      </c>
    </row>
    <row r="686" spans="1:2" x14ac:dyDescent="0.35">
      <c r="A686" s="13" t="s">
        <v>44</v>
      </c>
      <c r="B686" s="14">
        <v>1.79</v>
      </c>
    </row>
    <row r="687" spans="1:2" x14ac:dyDescent="0.35">
      <c r="A687" s="13" t="s">
        <v>485</v>
      </c>
      <c r="B687" s="14">
        <v>1.79</v>
      </c>
    </row>
    <row r="688" spans="1:2" x14ac:dyDescent="0.35">
      <c r="A688" s="13" t="s">
        <v>728</v>
      </c>
      <c r="B688" s="14">
        <v>1.79</v>
      </c>
    </row>
    <row r="689" spans="1:2" x14ac:dyDescent="0.35">
      <c r="A689" s="13" t="s">
        <v>486</v>
      </c>
      <c r="B689" s="14">
        <v>1.78</v>
      </c>
    </row>
    <row r="690" spans="1:2" x14ac:dyDescent="0.35">
      <c r="A690" s="13" t="s">
        <v>665</v>
      </c>
      <c r="B690" s="14">
        <v>1.78</v>
      </c>
    </row>
    <row r="691" spans="1:2" x14ac:dyDescent="0.35">
      <c r="A691" s="13" t="s">
        <v>385</v>
      </c>
      <c r="B691" s="14">
        <v>1.77</v>
      </c>
    </row>
    <row r="692" spans="1:2" x14ac:dyDescent="0.35">
      <c r="A692" s="13" t="s">
        <v>233</v>
      </c>
      <c r="B692" s="14">
        <v>1.72</v>
      </c>
    </row>
    <row r="693" spans="1:2" x14ac:dyDescent="0.35">
      <c r="A693" s="13" t="s">
        <v>567</v>
      </c>
      <c r="B693" s="14">
        <v>1.68</v>
      </c>
    </row>
    <row r="694" spans="1:2" x14ac:dyDescent="0.35">
      <c r="A694" s="13" t="s">
        <v>131</v>
      </c>
      <c r="B694" s="14">
        <v>1.67</v>
      </c>
    </row>
    <row r="695" spans="1:2" x14ac:dyDescent="0.35">
      <c r="A695" s="13" t="s">
        <v>679</v>
      </c>
      <c r="B695" s="14">
        <v>1.67</v>
      </c>
    </row>
    <row r="696" spans="1:2" x14ac:dyDescent="0.35">
      <c r="A696" s="13" t="s">
        <v>269</v>
      </c>
      <c r="B696" s="14">
        <v>1.65</v>
      </c>
    </row>
    <row r="697" spans="1:2" x14ac:dyDescent="0.35">
      <c r="A697" s="13" t="s">
        <v>319</v>
      </c>
      <c r="B697" s="14">
        <v>1.63</v>
      </c>
    </row>
    <row r="698" spans="1:2" x14ac:dyDescent="0.35">
      <c r="A698" s="13" t="s">
        <v>687</v>
      </c>
      <c r="B698" s="14">
        <v>1.63</v>
      </c>
    </row>
    <row r="699" spans="1:2" x14ac:dyDescent="0.35">
      <c r="A699" s="13" t="s">
        <v>139</v>
      </c>
      <c r="B699" s="14">
        <v>1.61</v>
      </c>
    </row>
    <row r="700" spans="1:2" x14ac:dyDescent="0.35">
      <c r="A700" s="13" t="s">
        <v>17</v>
      </c>
      <c r="B700" s="14">
        <v>1.58</v>
      </c>
    </row>
    <row r="701" spans="1:2" x14ac:dyDescent="0.35">
      <c r="A701" s="13" t="s">
        <v>409</v>
      </c>
      <c r="B701" s="14">
        <v>1.58</v>
      </c>
    </row>
    <row r="702" spans="1:2" x14ac:dyDescent="0.35">
      <c r="A702" s="13" t="s">
        <v>222</v>
      </c>
      <c r="B702" s="14">
        <v>1.57</v>
      </c>
    </row>
    <row r="703" spans="1:2" x14ac:dyDescent="0.35">
      <c r="A703" s="13" t="s">
        <v>89</v>
      </c>
      <c r="B703" s="14">
        <v>1.54</v>
      </c>
    </row>
    <row r="704" spans="1:2" x14ac:dyDescent="0.35">
      <c r="A704" s="13" t="s">
        <v>50</v>
      </c>
      <c r="B704" s="14">
        <v>1.53</v>
      </c>
    </row>
    <row r="705" spans="1:2" x14ac:dyDescent="0.35">
      <c r="A705" s="13" t="s">
        <v>95</v>
      </c>
      <c r="B705" s="14">
        <v>1.52</v>
      </c>
    </row>
    <row r="706" spans="1:2" x14ac:dyDescent="0.35">
      <c r="A706" s="13" t="s">
        <v>612</v>
      </c>
      <c r="B706" s="14">
        <v>1.51</v>
      </c>
    </row>
    <row r="707" spans="1:2" x14ac:dyDescent="0.35">
      <c r="A707" s="13" t="s">
        <v>634</v>
      </c>
      <c r="B707" s="14">
        <v>1.51</v>
      </c>
    </row>
    <row r="708" spans="1:2" x14ac:dyDescent="0.35">
      <c r="A708" s="13" t="s">
        <v>647</v>
      </c>
      <c r="B708" s="14">
        <v>1.51</v>
      </c>
    </row>
    <row r="709" spans="1:2" x14ac:dyDescent="0.35">
      <c r="A709" s="13" t="s">
        <v>354</v>
      </c>
      <c r="B709" s="14">
        <v>1.49</v>
      </c>
    </row>
    <row r="710" spans="1:2" x14ac:dyDescent="0.35">
      <c r="A710" s="13" t="s">
        <v>654</v>
      </c>
      <c r="B710" s="14">
        <v>1.48</v>
      </c>
    </row>
    <row r="711" spans="1:2" x14ac:dyDescent="0.35">
      <c r="A711" s="13" t="s">
        <v>722</v>
      </c>
      <c r="B711" s="14">
        <v>1.47</v>
      </c>
    </row>
    <row r="712" spans="1:2" x14ac:dyDescent="0.35">
      <c r="A712" s="13" t="s">
        <v>539</v>
      </c>
      <c r="B712" s="14">
        <v>1.35</v>
      </c>
    </row>
    <row r="713" spans="1:2" x14ac:dyDescent="0.35">
      <c r="A713" s="13" t="s">
        <v>72</v>
      </c>
      <c r="B713" s="14">
        <v>1.31</v>
      </c>
    </row>
    <row r="714" spans="1:2" x14ac:dyDescent="0.35">
      <c r="A714" s="13" t="s">
        <v>669</v>
      </c>
      <c r="B714" s="14">
        <v>1.3</v>
      </c>
    </row>
    <row r="715" spans="1:2" x14ac:dyDescent="0.35">
      <c r="A715" s="13" t="s">
        <v>203</v>
      </c>
      <c r="B715" s="14">
        <v>1.27</v>
      </c>
    </row>
    <row r="716" spans="1:2" x14ac:dyDescent="0.35">
      <c r="A716" s="13" t="s">
        <v>273</v>
      </c>
      <c r="B716" s="14">
        <v>1.27</v>
      </c>
    </row>
    <row r="717" spans="1:2" x14ac:dyDescent="0.35">
      <c r="A717" s="13" t="s">
        <v>703</v>
      </c>
      <c r="B717" s="14">
        <v>1.27</v>
      </c>
    </row>
    <row r="718" spans="1:2" x14ac:dyDescent="0.35">
      <c r="A718" s="13" t="s">
        <v>338</v>
      </c>
      <c r="B718" s="14">
        <v>1.26</v>
      </c>
    </row>
    <row r="719" spans="1:2" x14ac:dyDescent="0.35">
      <c r="A719" s="13" t="s">
        <v>623</v>
      </c>
      <c r="B719" s="14">
        <v>1.24</v>
      </c>
    </row>
    <row r="720" spans="1:2" x14ac:dyDescent="0.35">
      <c r="A720" s="13" t="s">
        <v>471</v>
      </c>
      <c r="B720" s="14">
        <v>1.22</v>
      </c>
    </row>
    <row r="721" spans="1:2" x14ac:dyDescent="0.35">
      <c r="A721" s="13" t="s">
        <v>417</v>
      </c>
      <c r="B721" s="14">
        <v>1.21</v>
      </c>
    </row>
    <row r="722" spans="1:2" x14ac:dyDescent="0.35">
      <c r="A722" s="13" t="s">
        <v>425</v>
      </c>
      <c r="B722" s="14">
        <v>1.21</v>
      </c>
    </row>
    <row r="723" spans="1:2" x14ac:dyDescent="0.35">
      <c r="A723" s="13" t="s">
        <v>343</v>
      </c>
      <c r="B723" s="14">
        <v>1.2</v>
      </c>
    </row>
    <row r="724" spans="1:2" x14ac:dyDescent="0.35">
      <c r="A724" s="13" t="s">
        <v>668</v>
      </c>
      <c r="B724" s="14">
        <v>1.18</v>
      </c>
    </row>
    <row r="725" spans="1:2" x14ac:dyDescent="0.35">
      <c r="A725" s="13" t="s">
        <v>653</v>
      </c>
      <c r="B725" s="14">
        <v>1.17</v>
      </c>
    </row>
    <row r="726" spans="1:2" x14ac:dyDescent="0.35">
      <c r="A726" s="13" t="s">
        <v>13</v>
      </c>
      <c r="B726" s="14">
        <v>1.1499999999999999</v>
      </c>
    </row>
    <row r="727" spans="1:2" x14ac:dyDescent="0.35">
      <c r="A727" s="13" t="s">
        <v>221</v>
      </c>
      <c r="B727" s="14">
        <v>1.1499999999999999</v>
      </c>
    </row>
    <row r="728" spans="1:2" x14ac:dyDescent="0.35">
      <c r="A728" s="13" t="s">
        <v>294</v>
      </c>
      <c r="B728" s="14">
        <v>1.1299999999999999</v>
      </c>
    </row>
    <row r="729" spans="1:2" x14ac:dyDescent="0.35">
      <c r="A729" s="13" t="s">
        <v>710</v>
      </c>
      <c r="B729" s="14">
        <v>1.1200000000000001</v>
      </c>
    </row>
    <row r="730" spans="1:2" x14ac:dyDescent="0.35">
      <c r="A730" s="13" t="s">
        <v>664</v>
      </c>
      <c r="B730" s="14">
        <v>1.1100000000000001</v>
      </c>
    </row>
    <row r="731" spans="1:2" x14ac:dyDescent="0.35">
      <c r="A731" s="13" t="s">
        <v>499</v>
      </c>
      <c r="B731" s="14">
        <v>1.07</v>
      </c>
    </row>
    <row r="732" spans="1:2" x14ac:dyDescent="0.35">
      <c r="A732" s="13" t="s">
        <v>463</v>
      </c>
      <c r="B732" s="14">
        <v>1.06</v>
      </c>
    </row>
    <row r="733" spans="1:2" x14ac:dyDescent="0.35">
      <c r="A733" s="13" t="s">
        <v>382</v>
      </c>
      <c r="B733" s="14">
        <v>1.05</v>
      </c>
    </row>
    <row r="734" spans="1:2" x14ac:dyDescent="0.35">
      <c r="A734" s="13" t="s">
        <v>441</v>
      </c>
      <c r="B734" s="14">
        <v>1.05</v>
      </c>
    </row>
    <row r="735" spans="1:2" x14ac:dyDescent="0.35">
      <c r="A735" s="13" t="s">
        <v>413</v>
      </c>
      <c r="B735" s="14">
        <v>1.03</v>
      </c>
    </row>
    <row r="736" spans="1:2" x14ac:dyDescent="0.35">
      <c r="A736" s="13" t="s">
        <v>657</v>
      </c>
      <c r="B736" s="14">
        <v>1.01</v>
      </c>
    </row>
    <row r="737" spans="1:2" x14ac:dyDescent="0.35">
      <c r="A737" s="13" t="s">
        <v>223</v>
      </c>
      <c r="B737" s="14">
        <v>1</v>
      </c>
    </row>
    <row r="738" spans="1:2" x14ac:dyDescent="0.35">
      <c r="A738" s="13" t="s">
        <v>351</v>
      </c>
      <c r="B738" s="14">
        <v>1</v>
      </c>
    </row>
    <row r="739" spans="1:2" x14ac:dyDescent="0.35">
      <c r="A739" s="13" t="s">
        <v>606</v>
      </c>
      <c r="B739" s="14">
        <v>1</v>
      </c>
    </row>
    <row r="740" spans="1:2" x14ac:dyDescent="0.35">
      <c r="A740" s="13" t="s">
        <v>228</v>
      </c>
      <c r="B740" s="14">
        <v>0.99</v>
      </c>
    </row>
    <row r="741" spans="1:2" x14ac:dyDescent="0.35">
      <c r="A741" s="13" t="s">
        <v>93</v>
      </c>
      <c r="B741" s="14">
        <v>0.98</v>
      </c>
    </row>
    <row r="742" spans="1:2" x14ac:dyDescent="0.35">
      <c r="A742" s="13" t="s">
        <v>481</v>
      </c>
      <c r="B742" s="14">
        <v>0.98</v>
      </c>
    </row>
    <row r="743" spans="1:2" x14ac:dyDescent="0.35">
      <c r="A743" s="13" t="s">
        <v>261</v>
      </c>
      <c r="B743" s="14">
        <v>0.96</v>
      </c>
    </row>
    <row r="744" spans="1:2" x14ac:dyDescent="0.35">
      <c r="A744" s="13" t="s">
        <v>507</v>
      </c>
      <c r="B744" s="14">
        <v>0.93</v>
      </c>
    </row>
    <row r="745" spans="1:2" x14ac:dyDescent="0.35">
      <c r="A745" s="13" t="s">
        <v>138</v>
      </c>
      <c r="B745" s="14">
        <v>0.91</v>
      </c>
    </row>
    <row r="746" spans="1:2" x14ac:dyDescent="0.35">
      <c r="A746" s="13" t="s">
        <v>210</v>
      </c>
      <c r="B746" s="14">
        <v>0.91</v>
      </c>
    </row>
    <row r="747" spans="1:2" x14ac:dyDescent="0.35">
      <c r="A747" s="13" t="s">
        <v>270</v>
      </c>
      <c r="B747" s="14">
        <v>0.89</v>
      </c>
    </row>
    <row r="748" spans="1:2" x14ac:dyDescent="0.35">
      <c r="A748" s="13" t="s">
        <v>374</v>
      </c>
      <c r="B748" s="14">
        <v>0.88</v>
      </c>
    </row>
    <row r="749" spans="1:2" x14ac:dyDescent="0.35">
      <c r="A749" s="13" t="s">
        <v>410</v>
      </c>
      <c r="B749" s="14">
        <v>0.88</v>
      </c>
    </row>
    <row r="750" spans="1:2" x14ac:dyDescent="0.35">
      <c r="A750" s="13" t="s">
        <v>544</v>
      </c>
      <c r="B750" s="14">
        <v>0.88</v>
      </c>
    </row>
    <row r="751" spans="1:2" x14ac:dyDescent="0.35">
      <c r="A751" s="13" t="s">
        <v>102</v>
      </c>
      <c r="B751" s="14">
        <v>0.87</v>
      </c>
    </row>
    <row r="752" spans="1:2" x14ac:dyDescent="0.35">
      <c r="A752" s="13" t="s">
        <v>146</v>
      </c>
      <c r="B752" s="14">
        <v>0.84</v>
      </c>
    </row>
    <row r="753" spans="1:2" x14ac:dyDescent="0.35">
      <c r="A753" s="13" t="s">
        <v>239</v>
      </c>
      <c r="B753" s="14">
        <v>0.84</v>
      </c>
    </row>
    <row r="754" spans="1:2" x14ac:dyDescent="0.35">
      <c r="A754" s="13" t="s">
        <v>491</v>
      </c>
      <c r="B754" s="14">
        <v>0.84</v>
      </c>
    </row>
    <row r="755" spans="1:2" x14ac:dyDescent="0.35">
      <c r="A755" s="13" t="s">
        <v>206</v>
      </c>
      <c r="B755" s="14">
        <v>0.82</v>
      </c>
    </row>
    <row r="756" spans="1:2" x14ac:dyDescent="0.35">
      <c r="A756" s="13" t="s">
        <v>404</v>
      </c>
      <c r="B756" s="14">
        <v>0.82</v>
      </c>
    </row>
    <row r="757" spans="1:2" x14ac:dyDescent="0.35">
      <c r="A757" s="13" t="s">
        <v>701</v>
      </c>
      <c r="B757" s="14">
        <v>0.81</v>
      </c>
    </row>
    <row r="758" spans="1:2" x14ac:dyDescent="0.35">
      <c r="A758" s="13" t="s">
        <v>200</v>
      </c>
      <c r="B758" s="14">
        <v>0.79</v>
      </c>
    </row>
    <row r="759" spans="1:2" x14ac:dyDescent="0.35">
      <c r="A759" s="13" t="s">
        <v>825</v>
      </c>
      <c r="B759" s="14">
        <v>0.73</v>
      </c>
    </row>
    <row r="760" spans="1:2" x14ac:dyDescent="0.35">
      <c r="A760" s="13" t="s">
        <v>403</v>
      </c>
      <c r="B760" s="14">
        <v>0.73</v>
      </c>
    </row>
    <row r="761" spans="1:2" x14ac:dyDescent="0.35">
      <c r="A761" s="13" t="s">
        <v>556</v>
      </c>
      <c r="B761" s="14">
        <v>0.73</v>
      </c>
    </row>
    <row r="762" spans="1:2" x14ac:dyDescent="0.35">
      <c r="A762" s="13" t="s">
        <v>80</v>
      </c>
      <c r="B762" s="14">
        <v>0.72</v>
      </c>
    </row>
    <row r="763" spans="1:2" x14ac:dyDescent="0.35">
      <c r="A763" s="13" t="s">
        <v>847</v>
      </c>
      <c r="B763" s="14">
        <v>0.72</v>
      </c>
    </row>
    <row r="764" spans="1:2" x14ac:dyDescent="0.35">
      <c r="A764" s="13" t="s">
        <v>509</v>
      </c>
      <c r="B764" s="14">
        <v>0.66</v>
      </c>
    </row>
    <row r="765" spans="1:2" x14ac:dyDescent="0.35">
      <c r="A765" s="13" t="s">
        <v>120</v>
      </c>
      <c r="B765" s="14">
        <v>0.65</v>
      </c>
    </row>
    <row r="766" spans="1:2" x14ac:dyDescent="0.35">
      <c r="A766" s="13" t="s">
        <v>216</v>
      </c>
      <c r="B766" s="14">
        <v>0.61</v>
      </c>
    </row>
    <row r="767" spans="1:2" x14ac:dyDescent="0.35">
      <c r="A767" s="13" t="s">
        <v>422</v>
      </c>
      <c r="B767" s="14">
        <v>0.61</v>
      </c>
    </row>
    <row r="768" spans="1:2" x14ac:dyDescent="0.35">
      <c r="A768" s="13" t="s">
        <v>805</v>
      </c>
      <c r="B768" s="14">
        <v>0.6</v>
      </c>
    </row>
    <row r="769" spans="1:2" x14ac:dyDescent="0.35">
      <c r="A769" s="13" t="s">
        <v>129</v>
      </c>
      <c r="B769" s="14">
        <v>0.6</v>
      </c>
    </row>
    <row r="770" spans="1:2" x14ac:dyDescent="0.35">
      <c r="A770" s="13" t="s">
        <v>307</v>
      </c>
      <c r="B770" s="14">
        <v>0.59</v>
      </c>
    </row>
    <row r="771" spans="1:2" x14ac:dyDescent="0.35">
      <c r="A771" s="13" t="s">
        <v>545</v>
      </c>
      <c r="B771" s="14">
        <v>0.56999999999999995</v>
      </c>
    </row>
    <row r="772" spans="1:2" x14ac:dyDescent="0.35">
      <c r="A772" s="13" t="s">
        <v>295</v>
      </c>
      <c r="B772" s="14">
        <v>0.56000000000000005</v>
      </c>
    </row>
    <row r="773" spans="1:2" x14ac:dyDescent="0.35">
      <c r="A773" s="13" t="s">
        <v>708</v>
      </c>
      <c r="B773" s="14">
        <v>0.56000000000000005</v>
      </c>
    </row>
    <row r="774" spans="1:2" x14ac:dyDescent="0.35">
      <c r="A774" s="13" t="s">
        <v>135</v>
      </c>
      <c r="B774" s="14">
        <v>0.52</v>
      </c>
    </row>
    <row r="775" spans="1:2" x14ac:dyDescent="0.35">
      <c r="A775" s="13" t="s">
        <v>423</v>
      </c>
      <c r="B775" s="14">
        <v>0.52</v>
      </c>
    </row>
    <row r="776" spans="1:2" x14ac:dyDescent="0.35">
      <c r="A776" s="13" t="s">
        <v>660</v>
      </c>
      <c r="B776" s="14">
        <v>0.5</v>
      </c>
    </row>
    <row r="777" spans="1:2" x14ac:dyDescent="0.35">
      <c r="A777" s="13" t="s">
        <v>170</v>
      </c>
      <c r="B777" s="14">
        <v>0.48</v>
      </c>
    </row>
    <row r="778" spans="1:2" x14ac:dyDescent="0.35">
      <c r="A778" s="13" t="s">
        <v>582</v>
      </c>
      <c r="B778" s="14">
        <v>0.48</v>
      </c>
    </row>
    <row r="779" spans="1:2" x14ac:dyDescent="0.35">
      <c r="A779" s="13" t="s">
        <v>231</v>
      </c>
      <c r="B779" s="14">
        <v>0.47</v>
      </c>
    </row>
    <row r="780" spans="1:2" x14ac:dyDescent="0.35">
      <c r="A780" s="13" t="s">
        <v>575</v>
      </c>
      <c r="B780" s="14">
        <v>0.47</v>
      </c>
    </row>
    <row r="781" spans="1:2" x14ac:dyDescent="0.35">
      <c r="A781" s="13" t="s">
        <v>305</v>
      </c>
      <c r="B781" s="14">
        <v>0.4</v>
      </c>
    </row>
    <row r="782" spans="1:2" x14ac:dyDescent="0.35">
      <c r="A782" s="13" t="s">
        <v>644</v>
      </c>
      <c r="B782" s="14">
        <v>0.39</v>
      </c>
    </row>
    <row r="783" spans="1:2" x14ac:dyDescent="0.35">
      <c r="A783" s="13" t="s">
        <v>357</v>
      </c>
      <c r="B783" s="14">
        <v>0.37</v>
      </c>
    </row>
    <row r="784" spans="1:2" x14ac:dyDescent="0.35">
      <c r="A784" s="13" t="s">
        <v>114</v>
      </c>
      <c r="B784" s="14">
        <v>0.36</v>
      </c>
    </row>
    <row r="785" spans="1:2" x14ac:dyDescent="0.35">
      <c r="A785" s="13" t="s">
        <v>542</v>
      </c>
      <c r="B785" s="14">
        <v>0.36</v>
      </c>
    </row>
    <row r="786" spans="1:2" x14ac:dyDescent="0.35">
      <c r="A786" s="13" t="s">
        <v>26</v>
      </c>
      <c r="B786" s="14">
        <v>0.35</v>
      </c>
    </row>
    <row r="787" spans="1:2" x14ac:dyDescent="0.35">
      <c r="A787" s="13" t="s">
        <v>438</v>
      </c>
      <c r="B787" s="14">
        <v>0.33</v>
      </c>
    </row>
    <row r="788" spans="1:2" x14ac:dyDescent="0.35">
      <c r="A788" s="13" t="s">
        <v>136</v>
      </c>
      <c r="B788" s="14">
        <v>0.32</v>
      </c>
    </row>
    <row r="789" spans="1:2" x14ac:dyDescent="0.35">
      <c r="A789" s="13" t="s">
        <v>147</v>
      </c>
      <c r="B789" s="14">
        <v>0.32</v>
      </c>
    </row>
    <row r="790" spans="1:2" x14ac:dyDescent="0.35">
      <c r="A790" s="13" t="s">
        <v>27</v>
      </c>
      <c r="B790" s="14">
        <v>0.31</v>
      </c>
    </row>
    <row r="791" spans="1:2" x14ac:dyDescent="0.35">
      <c r="A791" s="13" t="s">
        <v>416</v>
      </c>
      <c r="B791" s="14">
        <v>0.31</v>
      </c>
    </row>
    <row r="792" spans="1:2" x14ac:dyDescent="0.35">
      <c r="A792" s="13" t="s">
        <v>566</v>
      </c>
      <c r="B792" s="14">
        <v>0.3</v>
      </c>
    </row>
    <row r="793" spans="1:2" x14ac:dyDescent="0.35">
      <c r="A793" s="13" t="s">
        <v>638</v>
      </c>
      <c r="B793" s="14">
        <v>0.28999999999999998</v>
      </c>
    </row>
    <row r="794" spans="1:2" x14ac:dyDescent="0.35">
      <c r="A794" s="13" t="s">
        <v>742</v>
      </c>
      <c r="B794" s="14">
        <v>0.28999999999999998</v>
      </c>
    </row>
    <row r="795" spans="1:2" x14ac:dyDescent="0.35">
      <c r="A795" s="13" t="s">
        <v>560</v>
      </c>
      <c r="B795" s="14">
        <v>0.28000000000000003</v>
      </c>
    </row>
    <row r="796" spans="1:2" x14ac:dyDescent="0.35">
      <c r="A796" s="13" t="s">
        <v>714</v>
      </c>
      <c r="B796" s="14">
        <v>0.28000000000000003</v>
      </c>
    </row>
    <row r="797" spans="1:2" x14ac:dyDescent="0.35">
      <c r="A797" s="13" t="s">
        <v>419</v>
      </c>
      <c r="B797" s="14">
        <v>0.26</v>
      </c>
    </row>
    <row r="798" spans="1:2" x14ac:dyDescent="0.35">
      <c r="A798" s="13" t="s">
        <v>704</v>
      </c>
      <c r="B798" s="14">
        <v>0.26</v>
      </c>
    </row>
    <row r="799" spans="1:2" x14ac:dyDescent="0.35">
      <c r="A799" s="13" t="s">
        <v>275</v>
      </c>
      <c r="B799" s="14">
        <v>0.25</v>
      </c>
    </row>
    <row r="800" spans="1:2" x14ac:dyDescent="0.35">
      <c r="A800" s="13" t="s">
        <v>399</v>
      </c>
      <c r="B800" s="14">
        <v>0.25</v>
      </c>
    </row>
    <row r="801" spans="1:2" x14ac:dyDescent="0.35">
      <c r="A801" s="13" t="s">
        <v>830</v>
      </c>
      <c r="B801" s="14">
        <v>0.24</v>
      </c>
    </row>
    <row r="802" spans="1:2" x14ac:dyDescent="0.35">
      <c r="A802" s="13" t="s">
        <v>513</v>
      </c>
      <c r="B802" s="14">
        <v>0.24</v>
      </c>
    </row>
    <row r="803" spans="1:2" x14ac:dyDescent="0.35">
      <c r="A803" s="13" t="s">
        <v>577</v>
      </c>
      <c r="B803" s="14">
        <v>0.24</v>
      </c>
    </row>
    <row r="804" spans="1:2" x14ac:dyDescent="0.35">
      <c r="A804" s="13" t="s">
        <v>286</v>
      </c>
      <c r="B804" s="14">
        <v>0.22</v>
      </c>
    </row>
    <row r="805" spans="1:2" x14ac:dyDescent="0.35">
      <c r="A805" s="13" t="s">
        <v>884</v>
      </c>
      <c r="B805" s="14">
        <v>0.22</v>
      </c>
    </row>
    <row r="806" spans="1:2" x14ac:dyDescent="0.35">
      <c r="A806" s="13" t="s">
        <v>546</v>
      </c>
      <c r="B806" s="14">
        <v>0.21</v>
      </c>
    </row>
    <row r="807" spans="1:2" x14ac:dyDescent="0.35">
      <c r="A807" s="13" t="s">
        <v>207</v>
      </c>
      <c r="B807" s="14">
        <v>0.2</v>
      </c>
    </row>
    <row r="808" spans="1:2" x14ac:dyDescent="0.35">
      <c r="A808" s="13" t="s">
        <v>156</v>
      </c>
      <c r="B808" s="14">
        <v>0.19</v>
      </c>
    </row>
    <row r="809" spans="1:2" x14ac:dyDescent="0.35">
      <c r="A809" s="13" t="s">
        <v>268</v>
      </c>
      <c r="B809" s="14">
        <v>0.19</v>
      </c>
    </row>
    <row r="810" spans="1:2" x14ac:dyDescent="0.35">
      <c r="A810" s="13" t="s">
        <v>252</v>
      </c>
      <c r="B810" s="14">
        <v>0.16</v>
      </c>
    </row>
    <row r="811" spans="1:2" x14ac:dyDescent="0.35">
      <c r="A811" s="13" t="s">
        <v>411</v>
      </c>
      <c r="B811" s="14">
        <v>0.15</v>
      </c>
    </row>
    <row r="812" spans="1:2" x14ac:dyDescent="0.35">
      <c r="A812" s="13" t="s">
        <v>436</v>
      </c>
      <c r="B812" s="14">
        <v>0.12</v>
      </c>
    </row>
    <row r="813" spans="1:2" x14ac:dyDescent="0.35">
      <c r="A813" s="13" t="s">
        <v>574</v>
      </c>
      <c r="B813" s="14">
        <v>0.12</v>
      </c>
    </row>
    <row r="814" spans="1:2" x14ac:dyDescent="0.35">
      <c r="A814" s="13" t="s">
        <v>741</v>
      </c>
      <c r="B814" s="14">
        <v>0.11</v>
      </c>
    </row>
    <row r="815" spans="1:2" x14ac:dyDescent="0.35">
      <c r="A815" s="13" t="s">
        <v>490</v>
      </c>
      <c r="B815" s="14">
        <v>0.1</v>
      </c>
    </row>
    <row r="816" spans="1:2" x14ac:dyDescent="0.35">
      <c r="A816" s="13" t="s">
        <v>562</v>
      </c>
      <c r="B816" s="14">
        <v>0.1</v>
      </c>
    </row>
    <row r="817" spans="1:2" x14ac:dyDescent="0.35">
      <c r="A817" s="13" t="s">
        <v>249</v>
      </c>
      <c r="B817" s="14">
        <v>0.09</v>
      </c>
    </row>
    <row r="818" spans="1:2" x14ac:dyDescent="0.35">
      <c r="A818" s="13" t="s">
        <v>559</v>
      </c>
      <c r="B818" s="14">
        <v>0.09</v>
      </c>
    </row>
    <row r="819" spans="1:2" x14ac:dyDescent="0.35">
      <c r="A819" s="13" t="s">
        <v>226</v>
      </c>
      <c r="B819" s="14">
        <v>0.08</v>
      </c>
    </row>
    <row r="820" spans="1:2" x14ac:dyDescent="0.35">
      <c r="A820" s="13" t="s">
        <v>583</v>
      </c>
      <c r="B820" s="14">
        <v>0.08</v>
      </c>
    </row>
    <row r="821" spans="1:2" x14ac:dyDescent="0.35">
      <c r="A821" s="13" t="s">
        <v>609</v>
      </c>
      <c r="B821" s="14">
        <v>0.08</v>
      </c>
    </row>
    <row r="822" spans="1:2" x14ac:dyDescent="0.35">
      <c r="A822" s="13" t="s">
        <v>256</v>
      </c>
      <c r="B822" s="14">
        <v>0.06</v>
      </c>
    </row>
    <row r="823" spans="1:2" x14ac:dyDescent="0.35">
      <c r="A823" s="13" t="s">
        <v>122</v>
      </c>
      <c r="B823" s="14">
        <v>0.05</v>
      </c>
    </row>
    <row r="824" spans="1:2" x14ac:dyDescent="0.35">
      <c r="A824" s="13" t="s">
        <v>145</v>
      </c>
      <c r="B824" s="14">
        <v>0.05</v>
      </c>
    </row>
    <row r="825" spans="1:2" x14ac:dyDescent="0.35">
      <c r="A825" s="13" t="s">
        <v>576</v>
      </c>
      <c r="B825" s="14">
        <v>0.04</v>
      </c>
    </row>
    <row r="826" spans="1:2" x14ac:dyDescent="0.35">
      <c r="A826" s="13" t="s">
        <v>127</v>
      </c>
      <c r="B826" s="14">
        <v>0.03</v>
      </c>
    </row>
    <row r="827" spans="1:2" x14ac:dyDescent="0.35">
      <c r="A827" s="13" t="s">
        <v>743</v>
      </c>
      <c r="B827" s="14">
        <v>0.03</v>
      </c>
    </row>
    <row r="828" spans="1:2" x14ac:dyDescent="0.35">
      <c r="A828" s="13" t="s">
        <v>130</v>
      </c>
      <c r="B828" s="14">
        <v>0.02</v>
      </c>
    </row>
    <row r="829" spans="1:2" x14ac:dyDescent="0.35">
      <c r="A829" s="13" t="s">
        <v>362</v>
      </c>
      <c r="B829" s="14">
        <v>0.02</v>
      </c>
    </row>
    <row r="830" spans="1:2" x14ac:dyDescent="0.35">
      <c r="A830" s="13" t="s">
        <v>405</v>
      </c>
      <c r="B830" s="14">
        <v>0.02</v>
      </c>
    </row>
    <row r="831" spans="1:2" x14ac:dyDescent="0.35">
      <c r="A831" s="13" t="s">
        <v>412</v>
      </c>
      <c r="B831" s="14">
        <v>0.02</v>
      </c>
    </row>
    <row r="832" spans="1:2" x14ac:dyDescent="0.35">
      <c r="A832" s="13" t="s">
        <v>9</v>
      </c>
      <c r="B832" s="14">
        <v>0</v>
      </c>
    </row>
    <row r="833" spans="1:2" x14ac:dyDescent="0.35">
      <c r="A833" s="13" t="s">
        <v>62</v>
      </c>
      <c r="B833" s="14">
        <v>0</v>
      </c>
    </row>
    <row r="834" spans="1:2" x14ac:dyDescent="0.35">
      <c r="A834" s="13" t="s">
        <v>157</v>
      </c>
      <c r="B834" s="14">
        <v>0</v>
      </c>
    </row>
    <row r="835" spans="1:2" x14ac:dyDescent="0.35">
      <c r="A835" s="13" t="s">
        <v>288</v>
      </c>
      <c r="B835" s="14">
        <v>0</v>
      </c>
    </row>
    <row r="836" spans="1:2" x14ac:dyDescent="0.35">
      <c r="A836" s="13" t="s">
        <v>443</v>
      </c>
      <c r="B836" s="14">
        <v>0</v>
      </c>
    </row>
  </sheetData>
  <mergeCells count="1">
    <mergeCell ref="D49:E49"/>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B65CE-29A5-4FE7-80E5-BCBB98A2A200}">
  <dimension ref="A1:I140"/>
  <sheetViews>
    <sheetView topLeftCell="D1" zoomScale="86" workbookViewId="0">
      <selection activeCell="K8" sqref="K8"/>
    </sheetView>
  </sheetViews>
  <sheetFormatPr defaultRowHeight="14.5" x14ac:dyDescent="0.35"/>
  <cols>
    <col min="1" max="1" width="16.36328125" customWidth="1"/>
    <col min="2" max="2" width="10.08984375" customWidth="1"/>
    <col min="3" max="3" width="30" bestFit="1" customWidth="1"/>
    <col min="4" max="4" width="16.90625" bestFit="1" customWidth="1"/>
    <col min="5" max="5" width="21.26953125" bestFit="1" customWidth="1"/>
    <col min="6" max="6" width="6.36328125" bestFit="1" customWidth="1"/>
    <col min="11" max="11" width="12.453125" bestFit="1" customWidth="1"/>
    <col min="12" max="12" width="14.6328125" bestFit="1" customWidth="1"/>
  </cols>
  <sheetData>
    <row r="1" spans="1:9" x14ac:dyDescent="0.35">
      <c r="A1" t="s">
        <v>780</v>
      </c>
      <c r="B1" t="s">
        <v>0</v>
      </c>
      <c r="C1" t="s">
        <v>744</v>
      </c>
      <c r="D1" t="s">
        <v>920</v>
      </c>
      <c r="G1" t="s">
        <v>757</v>
      </c>
      <c r="H1" t="s">
        <v>744</v>
      </c>
      <c r="I1" t="s">
        <v>921</v>
      </c>
    </row>
    <row r="2" spans="1:9" x14ac:dyDescent="0.35">
      <c r="A2" s="1">
        <v>41000</v>
      </c>
      <c r="B2" s="2">
        <f>YEAR(Q2_data[[#This Row],[date]])</f>
        <v>2012</v>
      </c>
      <c r="C2" s="31">
        <v>56.97</v>
      </c>
      <c r="D2" s="31">
        <f>0</f>
        <v>0</v>
      </c>
      <c r="G2" cm="1">
        <f t="array" ref="G2:G13">_xlfn.UNIQUE(YEAR(Q2_data[date]))</f>
        <v>2012</v>
      </c>
      <c r="H2">
        <f>AVERAGEIF(Q2_data[YEAR],$G2,Q2_data[WPI])</f>
        <v>58.124444444444443</v>
      </c>
      <c r="I2">
        <v>0</v>
      </c>
    </row>
    <row r="3" spans="1:9" x14ac:dyDescent="0.35">
      <c r="A3" s="1">
        <v>41030</v>
      </c>
      <c r="B3" s="2">
        <f>YEAR(Q2_data[[#This Row],[date]])</f>
        <v>2012</v>
      </c>
      <c r="C3" s="31">
        <v>57.47</v>
      </c>
      <c r="D3" s="31">
        <f>($C3-$C2)*100/$C2</f>
        <v>0.87765490609092511</v>
      </c>
      <c r="G3">
        <v>2013</v>
      </c>
      <c r="H3">
        <f>AVERAGEIF(Q2_data[YEAR],$G3,Q2_data[WPI])</f>
        <v>60.757499999999993</v>
      </c>
      <c r="I3" s="31">
        <f>($H3-$H2)*100/$H2</f>
        <v>4.5300313503593745</v>
      </c>
    </row>
    <row r="4" spans="1:9" x14ac:dyDescent="0.35">
      <c r="A4" s="1">
        <v>41061</v>
      </c>
      <c r="B4" s="2">
        <f>YEAR(Q2_data[[#This Row],[date]])</f>
        <v>2012</v>
      </c>
      <c r="C4" s="31">
        <v>57.56</v>
      </c>
      <c r="D4" s="31">
        <f t="shared" ref="D4:D67" si="0">($C4-$C3)*100/$C3</f>
        <v>0.156603445275802</v>
      </c>
      <c r="G4">
        <v>2014</v>
      </c>
      <c r="H4">
        <f>AVERAGEIF(Q2_data[YEAR],$G4,Q2_data[WPI])</f>
        <v>62.849999999999994</v>
      </c>
      <c r="I4" s="31">
        <f t="shared" ref="I4:I13" si="1">($H4-$H3)*100/$H3</f>
        <v>3.4440192568818686</v>
      </c>
    </row>
    <row r="5" spans="1:9" x14ac:dyDescent="0.35">
      <c r="A5" s="1">
        <v>41091</v>
      </c>
      <c r="B5" s="2">
        <f>YEAR(Q2_data[[#This Row],[date]])</f>
        <v>2012</v>
      </c>
      <c r="C5" s="31">
        <v>58.15</v>
      </c>
      <c r="D5" s="31">
        <f t="shared" si="0"/>
        <v>1.0250173731758101</v>
      </c>
      <c r="G5">
        <v>2015</v>
      </c>
      <c r="H5">
        <f>AVERAGEIF(Q2_data[YEAR],$G5,Q2_data[WPI])</f>
        <v>60.845833333333331</v>
      </c>
      <c r="I5" s="31">
        <f t="shared" si="1"/>
        <v>-3.1888093343940542</v>
      </c>
    </row>
    <row r="6" spans="1:9" x14ac:dyDescent="0.35">
      <c r="A6" s="1">
        <v>41122</v>
      </c>
      <c r="B6" s="2">
        <f>YEAR(Q2_data[[#This Row],[date]])</f>
        <v>2012</v>
      </c>
      <c r="C6" s="31">
        <v>58.52</v>
      </c>
      <c r="D6" s="31">
        <f t="shared" si="0"/>
        <v>0.63628546861565705</v>
      </c>
      <c r="G6">
        <v>2016</v>
      </c>
      <c r="H6">
        <f>AVERAGEIF(Q2_data[YEAR],$G6,Q2_data[WPI])</f>
        <v>61.029166666666669</v>
      </c>
      <c r="I6" s="31">
        <f t="shared" si="1"/>
        <v>0.3013079504211526</v>
      </c>
    </row>
    <row r="7" spans="1:9" x14ac:dyDescent="0.35">
      <c r="A7" s="1">
        <v>41153</v>
      </c>
      <c r="B7" s="2">
        <f>YEAR(Q2_data[[#This Row],[date]])</f>
        <v>2012</v>
      </c>
      <c r="C7" s="31">
        <v>58.82</v>
      </c>
      <c r="D7" s="31">
        <f t="shared" si="0"/>
        <v>0.51264524948734991</v>
      </c>
      <c r="G7">
        <v>2017</v>
      </c>
      <c r="H7">
        <f>AVERAGEIF(Q2_data[YEAR],$G7,Q2_data[WPI])</f>
        <v>63.025833333333317</v>
      </c>
      <c r="I7" s="31">
        <f t="shared" si="1"/>
        <v>3.2716597255410362</v>
      </c>
    </row>
    <row r="8" spans="1:9" x14ac:dyDescent="0.35">
      <c r="A8" s="1">
        <v>41183</v>
      </c>
      <c r="B8" s="2">
        <f>YEAR(Q2_data[[#This Row],[date]])</f>
        <v>2012</v>
      </c>
      <c r="C8" s="31">
        <v>58.69</v>
      </c>
      <c r="D8" s="31">
        <f t="shared" si="0"/>
        <v>-0.22101326079565209</v>
      </c>
      <c r="G8">
        <v>2018</v>
      </c>
      <c r="H8">
        <f>AVERAGEIF(Q2_data[YEAR],$G8,Q2_data[WPI])</f>
        <v>65.485833333333332</v>
      </c>
      <c r="I8" s="31">
        <f t="shared" si="1"/>
        <v>3.9031614020706042</v>
      </c>
    </row>
    <row r="9" spans="1:9" x14ac:dyDescent="0.35">
      <c r="A9" s="1">
        <v>41214</v>
      </c>
      <c r="B9" s="2">
        <f>YEAR(Q2_data[[#This Row],[date]])</f>
        <v>2012</v>
      </c>
      <c r="C9" s="31">
        <v>58.54</v>
      </c>
      <c r="D9" s="31">
        <f t="shared" si="0"/>
        <v>-0.25558016697904001</v>
      </c>
      <c r="G9">
        <v>2019</v>
      </c>
      <c r="H9">
        <f>AVERAGEIF(Q2_data[YEAR],$G9,Q2_data[WPI])</f>
        <v>66.910000000000011</v>
      </c>
      <c r="I9" s="31">
        <f t="shared" si="1"/>
        <v>2.1747706246898368</v>
      </c>
    </row>
    <row r="10" spans="1:9" x14ac:dyDescent="0.35">
      <c r="A10" s="1">
        <v>41244</v>
      </c>
      <c r="B10" s="2">
        <f>YEAR(Q2_data[[#This Row],[date]])</f>
        <v>2012</v>
      </c>
      <c r="C10" s="31">
        <v>58.4</v>
      </c>
      <c r="D10" s="31">
        <f t="shared" si="0"/>
        <v>-0.2391527160915623</v>
      </c>
      <c r="G10">
        <v>2020</v>
      </c>
      <c r="H10">
        <f>AVERAGEIF(Q2_data[YEAR],$G10,Q2_data[WPI])</f>
        <v>67.50833333333334</v>
      </c>
      <c r="I10" s="31">
        <f t="shared" si="1"/>
        <v>0.89423603845961597</v>
      </c>
    </row>
    <row r="11" spans="1:9" x14ac:dyDescent="0.35">
      <c r="A11" s="1">
        <v>41275</v>
      </c>
      <c r="B11" s="2">
        <f>YEAR(Q2_data[[#This Row],[date]])</f>
        <v>2013</v>
      </c>
      <c r="C11" s="31">
        <v>58.92</v>
      </c>
      <c r="D11" s="31">
        <f t="shared" si="0"/>
        <v>0.89041095890411492</v>
      </c>
      <c r="G11">
        <v>2021</v>
      </c>
      <c r="H11">
        <f>AVERAGEIF(Q2_data[YEAR],$G11,Q2_data[WPI])</f>
        <v>74.391666666666666</v>
      </c>
      <c r="I11" s="31">
        <f t="shared" si="1"/>
        <v>10.196272065177126</v>
      </c>
    </row>
    <row r="12" spans="1:9" x14ac:dyDescent="0.35">
      <c r="A12" s="1">
        <v>41306</v>
      </c>
      <c r="B12" s="2">
        <f>YEAR(Q2_data[[#This Row],[date]])</f>
        <v>2013</v>
      </c>
      <c r="C12" s="31">
        <v>59.15</v>
      </c>
      <c r="D12" s="31">
        <f t="shared" si="0"/>
        <v>0.39035980991173941</v>
      </c>
      <c r="G12">
        <v>2022</v>
      </c>
      <c r="H12">
        <f>AVERAGEIF(Q2_data[YEAR],$G12,Q2_data[WPI])</f>
        <v>82.922500000000014</v>
      </c>
      <c r="I12" s="31">
        <f t="shared" si="1"/>
        <v>11.467458272656009</v>
      </c>
    </row>
    <row r="13" spans="1:9" x14ac:dyDescent="0.35">
      <c r="A13" s="1">
        <v>41334</v>
      </c>
      <c r="B13" s="2">
        <f>YEAR(Q2_data[[#This Row],[date]])</f>
        <v>2013</v>
      </c>
      <c r="C13" s="31">
        <v>59.24</v>
      </c>
      <c r="D13" s="31">
        <f t="shared" si="0"/>
        <v>0.15215553677092716</v>
      </c>
      <c r="G13">
        <v>2023</v>
      </c>
      <c r="H13">
        <f>AVERAGEIF(Q2_data[YEAR],$G13,Q2_data[WPI])</f>
        <v>82.941999999999993</v>
      </c>
      <c r="I13" s="31">
        <f t="shared" si="1"/>
        <v>2.3515933552388579E-2</v>
      </c>
    </row>
    <row r="14" spans="1:9" x14ac:dyDescent="0.35">
      <c r="A14" s="1">
        <v>41365</v>
      </c>
      <c r="B14" s="2">
        <f>YEAR(Q2_data[[#This Row],[date]])</f>
        <v>2013</v>
      </c>
      <c r="C14" s="31">
        <v>59.26</v>
      </c>
      <c r="D14" s="31">
        <f t="shared" si="0"/>
        <v>3.376097231599598E-2</v>
      </c>
    </row>
    <row r="15" spans="1:9" x14ac:dyDescent="0.35">
      <c r="A15" s="1">
        <v>41395</v>
      </c>
      <c r="B15" s="2">
        <f>YEAR(Q2_data[[#This Row],[date]])</f>
        <v>2013</v>
      </c>
      <c r="C15" s="31">
        <v>59.51</v>
      </c>
      <c r="D15" s="31">
        <f t="shared" si="0"/>
        <v>0.42186972662841715</v>
      </c>
    </row>
    <row r="16" spans="1:9" x14ac:dyDescent="0.35">
      <c r="A16" s="1">
        <v>41426</v>
      </c>
      <c r="B16" s="2">
        <f>YEAR(Q2_data[[#This Row],[date]])</f>
        <v>2013</v>
      </c>
      <c r="C16" s="31">
        <v>60.33</v>
      </c>
      <c r="D16" s="31">
        <f t="shared" si="0"/>
        <v>1.3779196773651492</v>
      </c>
    </row>
    <row r="17" spans="1:4" x14ac:dyDescent="0.35">
      <c r="A17" s="1">
        <v>41456</v>
      </c>
      <c r="B17" s="2">
        <f>YEAR(Q2_data[[#This Row],[date]])</f>
        <v>2013</v>
      </c>
      <c r="C17" s="31">
        <v>61</v>
      </c>
      <c r="D17" s="31">
        <f t="shared" si="0"/>
        <v>1.1105585943974834</v>
      </c>
    </row>
    <row r="18" spans="1:4" x14ac:dyDescent="0.35">
      <c r="A18" s="1">
        <v>41487</v>
      </c>
      <c r="B18" s="2">
        <f>YEAR(Q2_data[[#This Row],[date]])</f>
        <v>2013</v>
      </c>
      <c r="C18" s="31">
        <v>61.92</v>
      </c>
      <c r="D18" s="31">
        <f t="shared" si="0"/>
        <v>1.5081967213114782</v>
      </c>
    </row>
    <row r="19" spans="1:4" x14ac:dyDescent="0.35">
      <c r="A19" s="1">
        <v>41518</v>
      </c>
      <c r="B19" s="2">
        <f>YEAR(Q2_data[[#This Row],[date]])</f>
        <v>2013</v>
      </c>
      <c r="C19" s="31">
        <v>62.6</v>
      </c>
      <c r="D19" s="31">
        <f t="shared" si="0"/>
        <v>1.0981912144702837</v>
      </c>
    </row>
    <row r="20" spans="1:4" x14ac:dyDescent="0.35">
      <c r="A20" s="1">
        <v>41548</v>
      </c>
      <c r="B20" s="2">
        <f>YEAR(Q2_data[[#This Row],[date]])</f>
        <v>2013</v>
      </c>
      <c r="C20" s="31">
        <v>62.78</v>
      </c>
      <c r="D20" s="31">
        <f t="shared" si="0"/>
        <v>0.28753993610223594</v>
      </c>
    </row>
    <row r="21" spans="1:4" x14ac:dyDescent="0.35">
      <c r="A21" s="1">
        <v>41579</v>
      </c>
      <c r="B21" s="2">
        <f>YEAR(Q2_data[[#This Row],[date]])</f>
        <v>2013</v>
      </c>
      <c r="C21" s="31">
        <v>62.49</v>
      </c>
      <c r="D21" s="31">
        <f t="shared" si="0"/>
        <v>-0.46193055113093207</v>
      </c>
    </row>
    <row r="22" spans="1:4" x14ac:dyDescent="0.35">
      <c r="A22" s="1">
        <v>41609</v>
      </c>
      <c r="B22" s="2">
        <f>YEAR(Q2_data[[#This Row],[date]])</f>
        <v>2013</v>
      </c>
      <c r="C22" s="31">
        <v>61.89</v>
      </c>
      <c r="D22" s="31">
        <f t="shared" si="0"/>
        <v>-0.96015362457993503</v>
      </c>
    </row>
    <row r="23" spans="1:4" x14ac:dyDescent="0.35">
      <c r="A23" s="1">
        <v>41640</v>
      </c>
      <c r="B23" s="2">
        <f>YEAR(Q2_data[[#This Row],[date]])</f>
        <v>2014</v>
      </c>
      <c r="C23" s="31">
        <v>61.9</v>
      </c>
      <c r="D23" s="31">
        <f t="shared" si="0"/>
        <v>1.615769914363873E-2</v>
      </c>
    </row>
    <row r="24" spans="1:4" x14ac:dyDescent="0.35">
      <c r="A24" s="1">
        <v>41671</v>
      </c>
      <c r="B24" s="2">
        <f>YEAR(Q2_data[[#This Row],[date]])</f>
        <v>2014</v>
      </c>
      <c r="C24" s="31">
        <v>61.94</v>
      </c>
      <c r="D24" s="31">
        <f t="shared" si="0"/>
        <v>6.4620355411953392E-2</v>
      </c>
    </row>
    <row r="25" spans="1:4" x14ac:dyDescent="0.35">
      <c r="A25" s="1">
        <v>41699</v>
      </c>
      <c r="B25" s="2">
        <f>YEAR(Q2_data[[#This Row],[date]])</f>
        <v>2014</v>
      </c>
      <c r="C25" s="31">
        <v>62.32</v>
      </c>
      <c r="D25" s="31">
        <f t="shared" si="0"/>
        <v>0.61349693251534154</v>
      </c>
    </row>
    <row r="26" spans="1:4" x14ac:dyDescent="0.35">
      <c r="A26" s="1">
        <v>41730</v>
      </c>
      <c r="B26" s="2">
        <f>YEAR(Q2_data[[#This Row],[date]])</f>
        <v>2014</v>
      </c>
      <c r="C26" s="31">
        <v>62.26</v>
      </c>
      <c r="D26" s="31">
        <f t="shared" si="0"/>
        <v>-9.6277278562262952E-2</v>
      </c>
    </row>
    <row r="27" spans="1:4" x14ac:dyDescent="0.35">
      <c r="A27" s="1">
        <v>41760</v>
      </c>
      <c r="B27" s="2">
        <f>YEAR(Q2_data[[#This Row],[date]])</f>
        <v>2014</v>
      </c>
      <c r="C27" s="31">
        <v>62.84</v>
      </c>
      <c r="D27" s="31">
        <f t="shared" si="0"/>
        <v>0.93157725666560454</v>
      </c>
    </row>
    <row r="28" spans="1:4" x14ac:dyDescent="0.35">
      <c r="A28" s="1">
        <v>41791</v>
      </c>
      <c r="B28" s="2">
        <f>YEAR(Q2_data[[#This Row],[date]])</f>
        <v>2014</v>
      </c>
      <c r="C28" s="31">
        <v>63.11</v>
      </c>
      <c r="D28" s="31">
        <f t="shared" si="0"/>
        <v>0.4296626352641566</v>
      </c>
    </row>
    <row r="29" spans="1:4" x14ac:dyDescent="0.35">
      <c r="A29" s="1">
        <v>41821</v>
      </c>
      <c r="B29" s="2">
        <f>YEAR(Q2_data[[#This Row],[date]])</f>
        <v>2014</v>
      </c>
      <c r="C29" s="31">
        <v>64.03</v>
      </c>
      <c r="D29" s="31">
        <f t="shared" si="0"/>
        <v>1.4577721438757751</v>
      </c>
    </row>
    <row r="30" spans="1:4" x14ac:dyDescent="0.35">
      <c r="A30" s="1">
        <v>41852</v>
      </c>
      <c r="B30" s="2">
        <f>YEAR(Q2_data[[#This Row],[date]])</f>
        <v>2014</v>
      </c>
      <c r="C30" s="31">
        <v>64.38</v>
      </c>
      <c r="D30" s="31">
        <f t="shared" si="0"/>
        <v>0.54661877245040502</v>
      </c>
    </row>
    <row r="31" spans="1:4" x14ac:dyDescent="0.35">
      <c r="A31" s="1">
        <v>41883</v>
      </c>
      <c r="B31" s="2">
        <f>YEAR(Q2_data[[#This Row],[date]])</f>
        <v>2014</v>
      </c>
      <c r="C31" s="31">
        <v>63.91</v>
      </c>
      <c r="D31" s="31">
        <f t="shared" si="0"/>
        <v>-0.73004038521279724</v>
      </c>
    </row>
    <row r="32" spans="1:4" x14ac:dyDescent="0.35">
      <c r="A32" s="1">
        <v>41913</v>
      </c>
      <c r="B32" s="2">
        <f>YEAR(Q2_data[[#This Row],[date]])</f>
        <v>2014</v>
      </c>
      <c r="C32" s="31">
        <v>63.41</v>
      </c>
      <c r="D32" s="31">
        <f t="shared" si="0"/>
        <v>-0.78235017994054146</v>
      </c>
    </row>
    <row r="33" spans="1:4" x14ac:dyDescent="0.35">
      <c r="A33" s="1">
        <v>41944</v>
      </c>
      <c r="B33" s="2">
        <f>YEAR(Q2_data[[#This Row],[date]])</f>
        <v>2014</v>
      </c>
      <c r="C33" s="31">
        <v>62.57</v>
      </c>
      <c r="D33" s="31">
        <f t="shared" si="0"/>
        <v>-1.3247121905062236</v>
      </c>
    </row>
    <row r="34" spans="1:4" x14ac:dyDescent="0.35">
      <c r="A34" s="1">
        <v>41974</v>
      </c>
      <c r="B34" s="2">
        <f>YEAR(Q2_data[[#This Row],[date]])</f>
        <v>2014</v>
      </c>
      <c r="C34" s="31">
        <v>61.53</v>
      </c>
      <c r="D34" s="31">
        <f t="shared" si="0"/>
        <v>-1.6621384049864139</v>
      </c>
    </row>
    <row r="35" spans="1:4" x14ac:dyDescent="0.35">
      <c r="A35" s="1">
        <v>42005</v>
      </c>
      <c r="B35" s="2">
        <f>YEAR(Q2_data[[#This Row],[date]])</f>
        <v>2015</v>
      </c>
      <c r="C35" s="31">
        <v>60.93</v>
      </c>
      <c r="D35" s="31">
        <f t="shared" si="0"/>
        <v>-0.97513408093613096</v>
      </c>
    </row>
    <row r="36" spans="1:4" x14ac:dyDescent="0.35">
      <c r="A36" s="1">
        <v>42036</v>
      </c>
      <c r="B36" s="2">
        <f>YEAR(Q2_data[[#This Row],[date]])</f>
        <v>2015</v>
      </c>
      <c r="C36" s="31">
        <v>60.34</v>
      </c>
      <c r="D36" s="31">
        <f t="shared" si="0"/>
        <v>-0.96832430658131674</v>
      </c>
    </row>
    <row r="37" spans="1:4" x14ac:dyDescent="0.35">
      <c r="A37" s="1">
        <v>42064</v>
      </c>
      <c r="B37" s="2">
        <f>YEAR(Q2_data[[#This Row],[date]])</f>
        <v>2015</v>
      </c>
      <c r="C37" s="31">
        <v>60.43</v>
      </c>
      <c r="D37" s="31">
        <f t="shared" si="0"/>
        <v>0.1491547895260131</v>
      </c>
    </row>
    <row r="38" spans="1:4" x14ac:dyDescent="0.35">
      <c r="A38" s="1">
        <v>42095</v>
      </c>
      <c r="B38" s="2">
        <f>YEAR(Q2_data[[#This Row],[date]])</f>
        <v>2015</v>
      </c>
      <c r="C38" s="31">
        <v>60.59</v>
      </c>
      <c r="D38" s="31">
        <f t="shared" si="0"/>
        <v>0.26476915439351928</v>
      </c>
    </row>
    <row r="39" spans="1:4" x14ac:dyDescent="0.35">
      <c r="A39" s="1">
        <v>42125</v>
      </c>
      <c r="B39" s="2">
        <f>YEAR(Q2_data[[#This Row],[date]])</f>
        <v>2015</v>
      </c>
      <c r="C39" s="31">
        <v>61.36</v>
      </c>
      <c r="D39" s="31">
        <f t="shared" si="0"/>
        <v>1.2708367717445057</v>
      </c>
    </row>
    <row r="40" spans="1:4" x14ac:dyDescent="0.35">
      <c r="A40" s="1">
        <v>42156</v>
      </c>
      <c r="B40" s="2">
        <f>YEAR(Q2_data[[#This Row],[date]])</f>
        <v>2015</v>
      </c>
      <c r="C40" s="31">
        <v>61.58</v>
      </c>
      <c r="D40" s="31">
        <f t="shared" si="0"/>
        <v>0.3585397653194245</v>
      </c>
    </row>
    <row r="41" spans="1:4" x14ac:dyDescent="0.35">
      <c r="A41" s="1">
        <v>42186</v>
      </c>
      <c r="B41" s="2">
        <f>YEAR(Q2_data[[#This Row],[date]])</f>
        <v>2015</v>
      </c>
      <c r="C41" s="31">
        <v>61.3</v>
      </c>
      <c r="D41" s="31">
        <f t="shared" si="0"/>
        <v>-0.45469308216953741</v>
      </c>
    </row>
    <row r="42" spans="1:4" x14ac:dyDescent="0.35">
      <c r="A42" s="1">
        <v>42217</v>
      </c>
      <c r="B42" s="2">
        <f>YEAR(Q2_data[[#This Row],[date]])</f>
        <v>2015</v>
      </c>
      <c r="C42" s="31">
        <v>60.87</v>
      </c>
      <c r="D42" s="31">
        <f t="shared" si="0"/>
        <v>-0.70146818923327847</v>
      </c>
    </row>
    <row r="43" spans="1:4" x14ac:dyDescent="0.35">
      <c r="A43" s="1">
        <v>42248</v>
      </c>
      <c r="B43" s="2">
        <f>YEAR(Q2_data[[#This Row],[date]])</f>
        <v>2015</v>
      </c>
      <c r="C43" s="31">
        <v>60.81</v>
      </c>
      <c r="D43" s="31">
        <f t="shared" si="0"/>
        <v>-9.8570724494817102E-2</v>
      </c>
    </row>
    <row r="44" spans="1:4" x14ac:dyDescent="0.35">
      <c r="A44" s="1">
        <v>42278</v>
      </c>
      <c r="B44" s="2">
        <f>YEAR(Q2_data[[#This Row],[date]])</f>
        <v>2015</v>
      </c>
      <c r="C44" s="31">
        <v>60.88</v>
      </c>
      <c r="D44" s="31">
        <f t="shared" si="0"/>
        <v>0.11511264594639085</v>
      </c>
    </row>
    <row r="45" spans="1:4" x14ac:dyDescent="0.35">
      <c r="A45" s="1">
        <v>42309</v>
      </c>
      <c r="B45" s="2">
        <f>YEAR(Q2_data[[#This Row],[date]])</f>
        <v>2015</v>
      </c>
      <c r="C45" s="31">
        <v>60.65</v>
      </c>
      <c r="D45" s="31">
        <f t="shared" si="0"/>
        <v>-0.37779237844941521</v>
      </c>
    </row>
    <row r="46" spans="1:4" x14ac:dyDescent="0.35">
      <c r="A46" s="1">
        <v>42339</v>
      </c>
      <c r="B46" s="2">
        <f>YEAR(Q2_data[[#This Row],[date]])</f>
        <v>2015</v>
      </c>
      <c r="C46" s="31">
        <v>60.41</v>
      </c>
      <c r="D46" s="31">
        <f t="shared" si="0"/>
        <v>-0.39571310799670567</v>
      </c>
    </row>
    <row r="47" spans="1:4" x14ac:dyDescent="0.35">
      <c r="A47" s="1">
        <v>42370</v>
      </c>
      <c r="B47" s="2">
        <f>YEAR(Q2_data[[#This Row],[date]])</f>
        <v>2016</v>
      </c>
      <c r="C47" s="31">
        <v>59.66</v>
      </c>
      <c r="D47" s="31">
        <f t="shared" si="0"/>
        <v>-1.2415163052474756</v>
      </c>
    </row>
    <row r="48" spans="1:4" x14ac:dyDescent="0.35">
      <c r="A48" s="1">
        <v>42401</v>
      </c>
      <c r="B48" s="2">
        <f>YEAR(Q2_data[[#This Row],[date]])</f>
        <v>2016</v>
      </c>
      <c r="C48" s="31">
        <v>59.21</v>
      </c>
      <c r="D48" s="31">
        <f t="shared" si="0"/>
        <v>-0.75427422058329829</v>
      </c>
    </row>
    <row r="49" spans="1:4" x14ac:dyDescent="0.35">
      <c r="A49" s="1">
        <v>42430</v>
      </c>
      <c r="B49" s="2">
        <f>YEAR(Q2_data[[#This Row],[date]])</f>
        <v>2016</v>
      </c>
      <c r="C49" s="31">
        <v>59.52</v>
      </c>
      <c r="D49" s="31">
        <f t="shared" si="0"/>
        <v>0.52356020942408765</v>
      </c>
    </row>
    <row r="50" spans="1:4" x14ac:dyDescent="0.35">
      <c r="A50" s="1">
        <v>42461</v>
      </c>
      <c r="B50" s="2">
        <f>YEAR(Q2_data[[#This Row],[date]])</f>
        <v>2016</v>
      </c>
      <c r="C50" s="31">
        <v>60.24</v>
      </c>
      <c r="D50" s="31">
        <f t="shared" si="0"/>
        <v>1.2096774193548367</v>
      </c>
    </row>
    <row r="51" spans="1:4" x14ac:dyDescent="0.35">
      <c r="A51" s="1">
        <v>42491</v>
      </c>
      <c r="B51" s="2">
        <f>YEAR(Q2_data[[#This Row],[date]])</f>
        <v>2016</v>
      </c>
      <c r="C51" s="31">
        <v>61.17</v>
      </c>
      <c r="D51" s="31">
        <f t="shared" si="0"/>
        <v>1.5438247011952186</v>
      </c>
    </row>
    <row r="52" spans="1:4" x14ac:dyDescent="0.35">
      <c r="A52" s="1">
        <v>42522</v>
      </c>
      <c r="B52" s="2">
        <f>YEAR(Q2_data[[#This Row],[date]])</f>
        <v>2016</v>
      </c>
      <c r="C52" s="31">
        <v>61.89</v>
      </c>
      <c r="D52" s="31">
        <f t="shared" si="0"/>
        <v>1.1770475723393801</v>
      </c>
    </row>
    <row r="53" spans="1:4" x14ac:dyDescent="0.35">
      <c r="A53" s="1">
        <v>42552</v>
      </c>
      <c r="B53" s="2">
        <f>YEAR(Q2_data[[#This Row],[date]])</f>
        <v>2016</v>
      </c>
      <c r="C53" s="31">
        <v>62.02</v>
      </c>
      <c r="D53" s="31">
        <f t="shared" si="0"/>
        <v>0.21005008886734941</v>
      </c>
    </row>
    <row r="54" spans="1:4" x14ac:dyDescent="0.35">
      <c r="A54" s="1">
        <v>42583</v>
      </c>
      <c r="B54" s="2">
        <f>YEAR(Q2_data[[#This Row],[date]])</f>
        <v>2016</v>
      </c>
      <c r="C54" s="31">
        <v>61.73</v>
      </c>
      <c r="D54" s="31">
        <f t="shared" si="0"/>
        <v>-0.46759109964528578</v>
      </c>
    </row>
    <row r="55" spans="1:4" x14ac:dyDescent="0.35">
      <c r="A55" s="1">
        <v>42614</v>
      </c>
      <c r="B55" s="2">
        <f>YEAR(Q2_data[[#This Row],[date]])</f>
        <v>2016</v>
      </c>
      <c r="C55" s="31">
        <v>61.76</v>
      </c>
      <c r="D55" s="31">
        <f t="shared" si="0"/>
        <v>4.8598736432854589E-2</v>
      </c>
    </row>
    <row r="56" spans="1:4" x14ac:dyDescent="0.35">
      <c r="A56" s="1">
        <v>42644</v>
      </c>
      <c r="B56" s="2">
        <f>YEAR(Q2_data[[#This Row],[date]])</f>
        <v>2016</v>
      </c>
      <c r="C56" s="31">
        <v>61.73</v>
      </c>
      <c r="D56" s="31">
        <f t="shared" si="0"/>
        <v>-4.8575129533680601E-2</v>
      </c>
    </row>
    <row r="57" spans="1:4" x14ac:dyDescent="0.35">
      <c r="A57" s="1">
        <v>42675</v>
      </c>
      <c r="B57" s="2">
        <f>YEAR(Q2_data[[#This Row],[date]])</f>
        <v>2016</v>
      </c>
      <c r="C57" s="31">
        <v>61.81</v>
      </c>
      <c r="D57" s="31">
        <f t="shared" si="0"/>
        <v>0.12959663048761608</v>
      </c>
    </row>
    <row r="58" spans="1:4" x14ac:dyDescent="0.35">
      <c r="A58" s="1">
        <v>42705</v>
      </c>
      <c r="B58" s="2">
        <f>YEAR(Q2_data[[#This Row],[date]])</f>
        <v>2016</v>
      </c>
      <c r="C58" s="31">
        <v>61.61</v>
      </c>
      <c r="D58" s="31">
        <f t="shared" si="0"/>
        <v>-0.3235722375020269</v>
      </c>
    </row>
    <row r="59" spans="1:4" x14ac:dyDescent="0.35">
      <c r="A59" s="1">
        <v>42736</v>
      </c>
      <c r="B59" s="2">
        <f>YEAR(Q2_data[[#This Row],[date]])</f>
        <v>2017</v>
      </c>
      <c r="C59" s="31">
        <v>62.04</v>
      </c>
      <c r="D59" s="31">
        <f t="shared" si="0"/>
        <v>0.69793864632364833</v>
      </c>
    </row>
    <row r="60" spans="1:4" x14ac:dyDescent="0.35">
      <c r="A60" s="1">
        <v>42767</v>
      </c>
      <c r="B60" s="2">
        <f>YEAR(Q2_data[[#This Row],[date]])</f>
        <v>2017</v>
      </c>
      <c r="C60" s="31">
        <v>62.22</v>
      </c>
      <c r="D60" s="31">
        <f t="shared" si="0"/>
        <v>0.29013539651837478</v>
      </c>
    </row>
    <row r="61" spans="1:4" x14ac:dyDescent="0.35">
      <c r="A61" s="1">
        <v>42795</v>
      </c>
      <c r="B61" s="2">
        <f>YEAR(Q2_data[[#This Row],[date]])</f>
        <v>2017</v>
      </c>
      <c r="C61" s="31">
        <v>62.35</v>
      </c>
      <c r="D61" s="31">
        <f t="shared" si="0"/>
        <v>0.20893603342976946</v>
      </c>
    </row>
    <row r="62" spans="1:4" x14ac:dyDescent="0.35">
      <c r="A62" s="1">
        <v>42826</v>
      </c>
      <c r="B62" s="2">
        <f>YEAR(Q2_data[[#This Row],[date]])</f>
        <v>2017</v>
      </c>
      <c r="C62" s="31">
        <v>62.42</v>
      </c>
      <c r="D62" s="31">
        <f t="shared" si="0"/>
        <v>0.11226944667201329</v>
      </c>
    </row>
    <row r="63" spans="1:4" x14ac:dyDescent="0.35">
      <c r="A63" s="1">
        <v>42856</v>
      </c>
      <c r="B63" s="2">
        <f>YEAR(Q2_data[[#This Row],[date]])</f>
        <v>2017</v>
      </c>
      <c r="C63" s="31">
        <v>62.43</v>
      </c>
      <c r="D63" s="31">
        <f t="shared" si="0"/>
        <v>1.602050624799425E-2</v>
      </c>
    </row>
    <row r="64" spans="1:4" x14ac:dyDescent="0.35">
      <c r="A64" s="1">
        <v>42887</v>
      </c>
      <c r="B64" s="2">
        <f>YEAR(Q2_data[[#This Row],[date]])</f>
        <v>2017</v>
      </c>
      <c r="C64" s="31">
        <v>62.38</v>
      </c>
      <c r="D64" s="31">
        <f t="shared" si="0"/>
        <v>-8.0089700464515717E-2</v>
      </c>
    </row>
    <row r="65" spans="1:4" x14ac:dyDescent="0.35">
      <c r="A65" s="1">
        <v>42917</v>
      </c>
      <c r="B65" s="2">
        <f>YEAR(Q2_data[[#This Row],[date]])</f>
        <v>2017</v>
      </c>
      <c r="C65" s="31">
        <v>63.19</v>
      </c>
      <c r="D65" s="31">
        <f t="shared" si="0"/>
        <v>1.298493106764981</v>
      </c>
    </row>
    <row r="66" spans="1:4" x14ac:dyDescent="0.35">
      <c r="A66" s="1">
        <v>42948</v>
      </c>
      <c r="B66" s="2">
        <f>YEAR(Q2_data[[#This Row],[date]])</f>
        <v>2017</v>
      </c>
      <c r="C66" s="31">
        <v>63.7</v>
      </c>
      <c r="D66" s="31">
        <f t="shared" si="0"/>
        <v>0.8070897293875694</v>
      </c>
    </row>
    <row r="67" spans="1:4" x14ac:dyDescent="0.35">
      <c r="A67" s="1">
        <v>42979</v>
      </c>
      <c r="B67" s="2">
        <f>YEAR(Q2_data[[#This Row],[date]])</f>
        <v>2017</v>
      </c>
      <c r="C67" s="31">
        <v>63.59</v>
      </c>
      <c r="D67" s="31">
        <f t="shared" si="0"/>
        <v>-0.17268445839874322</v>
      </c>
    </row>
    <row r="68" spans="1:4" x14ac:dyDescent="0.35">
      <c r="A68" s="1">
        <v>43009</v>
      </c>
      <c r="B68" s="2">
        <f>YEAR(Q2_data[[#This Row],[date]])</f>
        <v>2017</v>
      </c>
      <c r="C68" s="31">
        <v>63.93</v>
      </c>
      <c r="D68" s="31">
        <f t="shared" ref="D68:D131" si="2">($C68-$C67)*100/$C67</f>
        <v>0.53467526340619009</v>
      </c>
    </row>
    <row r="69" spans="1:4" x14ac:dyDescent="0.35">
      <c r="A69" s="1">
        <v>43040</v>
      </c>
      <c r="B69" s="2">
        <f>YEAR(Q2_data[[#This Row],[date]])</f>
        <v>2017</v>
      </c>
      <c r="C69" s="31">
        <v>64.27</v>
      </c>
      <c r="D69" s="31">
        <f t="shared" si="2"/>
        <v>0.53183169091192917</v>
      </c>
    </row>
    <row r="70" spans="1:4" x14ac:dyDescent="0.35">
      <c r="A70" s="1">
        <v>43070</v>
      </c>
      <c r="B70" s="2">
        <f>YEAR(Q2_data[[#This Row],[date]])</f>
        <v>2017</v>
      </c>
      <c r="C70" s="31">
        <v>63.79</v>
      </c>
      <c r="D70" s="31">
        <f t="shared" si="2"/>
        <v>-0.74684922981172697</v>
      </c>
    </row>
    <row r="71" spans="1:4" x14ac:dyDescent="0.35">
      <c r="A71" s="1">
        <v>43101</v>
      </c>
      <c r="B71" s="2">
        <f>YEAR(Q2_data[[#This Row],[date]])</f>
        <v>2018</v>
      </c>
      <c r="C71" s="31">
        <v>63.89</v>
      </c>
      <c r="D71" s="31">
        <f t="shared" si="2"/>
        <v>0.1567643831321546</v>
      </c>
    </row>
    <row r="72" spans="1:4" x14ac:dyDescent="0.35">
      <c r="A72" s="1">
        <v>43132</v>
      </c>
      <c r="B72" s="2">
        <f>YEAR(Q2_data[[#This Row],[date]])</f>
        <v>2018</v>
      </c>
      <c r="C72" s="31">
        <v>63.9</v>
      </c>
      <c r="D72" s="31">
        <f t="shared" si="2"/>
        <v>1.5651901706054173E-2</v>
      </c>
    </row>
    <row r="73" spans="1:4" x14ac:dyDescent="0.35">
      <c r="A73" s="1">
        <v>43160</v>
      </c>
      <c r="B73" s="2">
        <f>YEAR(Q2_data[[#This Row],[date]])</f>
        <v>2018</v>
      </c>
      <c r="C73" s="31">
        <v>63.97</v>
      </c>
      <c r="D73" s="31">
        <f t="shared" si="2"/>
        <v>0.1095461658841945</v>
      </c>
    </row>
    <row r="74" spans="1:4" x14ac:dyDescent="0.35">
      <c r="A74" s="1">
        <v>43191</v>
      </c>
      <c r="B74" s="2">
        <f>YEAR(Q2_data[[#This Row],[date]])</f>
        <v>2018</v>
      </c>
      <c r="C74" s="31">
        <v>64.53</v>
      </c>
      <c r="D74" s="31">
        <f t="shared" si="2"/>
        <v>0.87541034860091027</v>
      </c>
    </row>
    <row r="75" spans="1:4" x14ac:dyDescent="0.35">
      <c r="A75" s="1">
        <v>43221</v>
      </c>
      <c r="B75" s="2">
        <f>YEAR(Q2_data[[#This Row],[date]])</f>
        <v>2018</v>
      </c>
      <c r="C75" s="31">
        <v>65.180000000000007</v>
      </c>
      <c r="D75" s="31">
        <f t="shared" si="2"/>
        <v>1.0072834340616856</v>
      </c>
    </row>
    <row r="76" spans="1:4" x14ac:dyDescent="0.35">
      <c r="A76" s="1">
        <v>43252</v>
      </c>
      <c r="B76" s="2">
        <f>YEAR(Q2_data[[#This Row],[date]])</f>
        <v>2018</v>
      </c>
      <c r="C76" s="31">
        <v>65.599999999999994</v>
      </c>
      <c r="D76" s="31">
        <f t="shared" si="2"/>
        <v>0.64436943847804151</v>
      </c>
    </row>
    <row r="77" spans="1:4" x14ac:dyDescent="0.35">
      <c r="A77" s="1">
        <v>43282</v>
      </c>
      <c r="B77" s="2">
        <f>YEAR(Q2_data[[#This Row],[date]])</f>
        <v>2018</v>
      </c>
      <c r="C77" s="31">
        <v>66.150000000000006</v>
      </c>
      <c r="D77" s="31">
        <f t="shared" si="2"/>
        <v>0.83841463414635886</v>
      </c>
    </row>
    <row r="78" spans="1:4" x14ac:dyDescent="0.35">
      <c r="A78" s="1">
        <v>43313</v>
      </c>
      <c r="B78" s="2">
        <f>YEAR(Q2_data[[#This Row],[date]])</f>
        <v>2018</v>
      </c>
      <c r="C78" s="31">
        <v>66.23</v>
      </c>
      <c r="D78" s="31">
        <f t="shared" si="2"/>
        <v>0.12093726379440406</v>
      </c>
    </row>
    <row r="79" spans="1:4" x14ac:dyDescent="0.35">
      <c r="A79" s="1">
        <v>43344</v>
      </c>
      <c r="B79" s="2">
        <f>YEAR(Q2_data[[#This Row],[date]])</f>
        <v>2018</v>
      </c>
      <c r="C79" s="31">
        <v>66.599999999999994</v>
      </c>
      <c r="D79" s="31">
        <f t="shared" si="2"/>
        <v>0.55865921787708039</v>
      </c>
    </row>
    <row r="80" spans="1:4" x14ac:dyDescent="0.35">
      <c r="A80" s="1">
        <v>43374</v>
      </c>
      <c r="B80" s="2">
        <f>YEAR(Q2_data[[#This Row],[date]])</f>
        <v>2018</v>
      </c>
      <c r="C80" s="31">
        <v>67.099999999999994</v>
      </c>
      <c r="D80" s="31">
        <f t="shared" si="2"/>
        <v>0.75075075075075082</v>
      </c>
    </row>
    <row r="81" spans="1:4" x14ac:dyDescent="0.35">
      <c r="A81" s="1">
        <v>43405</v>
      </c>
      <c r="B81" s="2">
        <f>YEAR(Q2_data[[#This Row],[date]])</f>
        <v>2018</v>
      </c>
      <c r="C81" s="31">
        <v>66.83</v>
      </c>
      <c r="D81" s="31">
        <f t="shared" si="2"/>
        <v>-0.40238450074515059</v>
      </c>
    </row>
    <row r="82" spans="1:4" x14ac:dyDescent="0.35">
      <c r="A82" s="1">
        <v>43435</v>
      </c>
      <c r="B82" s="2">
        <f>YEAR(Q2_data[[#This Row],[date]])</f>
        <v>2018</v>
      </c>
      <c r="C82" s="31">
        <v>65.849999999999994</v>
      </c>
      <c r="D82" s="31">
        <f t="shared" si="2"/>
        <v>-1.4664073021098369</v>
      </c>
    </row>
    <row r="83" spans="1:4" x14ac:dyDescent="0.35">
      <c r="A83" s="1">
        <v>43466</v>
      </c>
      <c r="B83" s="2">
        <f>YEAR(Q2_data[[#This Row],[date]])</f>
        <v>2019</v>
      </c>
      <c r="C83" s="31">
        <v>65.599999999999994</v>
      </c>
      <c r="D83" s="31">
        <f t="shared" si="2"/>
        <v>-0.37965072133637057</v>
      </c>
    </row>
    <row r="84" spans="1:4" x14ac:dyDescent="0.35">
      <c r="A84" s="1">
        <v>43497</v>
      </c>
      <c r="B84" s="2">
        <f>YEAR(Q2_data[[#This Row],[date]])</f>
        <v>2019</v>
      </c>
      <c r="C84" s="31">
        <v>65.75</v>
      </c>
      <c r="D84" s="31">
        <f t="shared" si="2"/>
        <v>0.22865853658537455</v>
      </c>
    </row>
    <row r="85" spans="1:4" x14ac:dyDescent="0.35">
      <c r="A85" s="1">
        <v>43525</v>
      </c>
      <c r="B85" s="2">
        <f>YEAR(Q2_data[[#This Row],[date]])</f>
        <v>2019</v>
      </c>
      <c r="C85" s="31">
        <v>65.94</v>
      </c>
      <c r="D85" s="31">
        <f t="shared" si="2"/>
        <v>0.28897338403041478</v>
      </c>
    </row>
    <row r="86" spans="1:4" x14ac:dyDescent="0.35">
      <c r="A86" s="1">
        <v>43556</v>
      </c>
      <c r="B86" s="2">
        <f>YEAR(Q2_data[[#This Row],[date]])</f>
        <v>2019</v>
      </c>
      <c r="C86" s="31">
        <v>66.680000000000007</v>
      </c>
      <c r="D86" s="31">
        <f t="shared" si="2"/>
        <v>1.1222323324234291</v>
      </c>
    </row>
    <row r="87" spans="1:4" x14ac:dyDescent="0.35">
      <c r="A87" s="1">
        <v>43586</v>
      </c>
      <c r="B87" s="2">
        <f>YEAR(Q2_data[[#This Row],[date]])</f>
        <v>2019</v>
      </c>
      <c r="C87" s="31">
        <v>67.13</v>
      </c>
      <c r="D87" s="31">
        <f t="shared" si="2"/>
        <v>0.67486502699458395</v>
      </c>
    </row>
    <row r="88" spans="1:4" x14ac:dyDescent="0.35">
      <c r="A88" s="1">
        <v>43617</v>
      </c>
      <c r="B88" s="2">
        <f>YEAR(Q2_data[[#This Row],[date]])</f>
        <v>2019</v>
      </c>
      <c r="C88" s="31">
        <v>67.12</v>
      </c>
      <c r="D88" s="31">
        <f t="shared" si="2"/>
        <v>-1.489646953670625E-2</v>
      </c>
    </row>
    <row r="89" spans="1:4" x14ac:dyDescent="0.35">
      <c r="A89" s="1">
        <v>43647</v>
      </c>
      <c r="B89" s="2">
        <f>YEAR(Q2_data[[#This Row],[date]])</f>
        <v>2019</v>
      </c>
      <c r="C89" s="31">
        <v>67.17</v>
      </c>
      <c r="D89" s="31">
        <f t="shared" si="2"/>
        <v>7.4493444576873E-2</v>
      </c>
    </row>
    <row r="90" spans="1:4" x14ac:dyDescent="0.35">
      <c r="A90" s="1">
        <v>43678</v>
      </c>
      <c r="B90" s="2">
        <f>YEAR(Q2_data[[#This Row],[date]])</f>
        <v>2019</v>
      </c>
      <c r="C90" s="31">
        <v>67.290000000000006</v>
      </c>
      <c r="D90" s="31">
        <f t="shared" si="2"/>
        <v>0.17865118356409787</v>
      </c>
    </row>
    <row r="91" spans="1:4" x14ac:dyDescent="0.35">
      <c r="A91" s="1">
        <v>43709</v>
      </c>
      <c r="B91" s="2">
        <f>YEAR(Q2_data[[#This Row],[date]])</f>
        <v>2019</v>
      </c>
      <c r="C91" s="31">
        <v>67.14</v>
      </c>
      <c r="D91" s="31">
        <f t="shared" si="2"/>
        <v>-0.22291573785110072</v>
      </c>
    </row>
    <row r="92" spans="1:4" x14ac:dyDescent="0.35">
      <c r="A92" s="1">
        <v>43739</v>
      </c>
      <c r="B92" s="2">
        <f>YEAR(Q2_data[[#This Row],[date]])</f>
        <v>2019</v>
      </c>
      <c r="C92" s="31">
        <v>67.510000000000005</v>
      </c>
      <c r="D92" s="31">
        <f t="shared" si="2"/>
        <v>0.55108728030980714</v>
      </c>
    </row>
    <row r="93" spans="1:4" x14ac:dyDescent="0.35">
      <c r="A93" s="1">
        <v>43770</v>
      </c>
      <c r="B93" s="2">
        <f>YEAR(Q2_data[[#This Row],[date]])</f>
        <v>2019</v>
      </c>
      <c r="C93" s="31">
        <v>67.58</v>
      </c>
      <c r="D93" s="31">
        <f t="shared" si="2"/>
        <v>0.10368834246777243</v>
      </c>
    </row>
    <row r="94" spans="1:4" x14ac:dyDescent="0.35">
      <c r="A94" s="1">
        <v>43800</v>
      </c>
      <c r="B94" s="2">
        <f>YEAR(Q2_data[[#This Row],[date]])</f>
        <v>2019</v>
      </c>
      <c r="C94" s="31">
        <v>68.010000000000005</v>
      </c>
      <c r="D94" s="31">
        <f t="shared" si="2"/>
        <v>0.63628292394200481</v>
      </c>
    </row>
    <row r="95" spans="1:4" x14ac:dyDescent="0.35">
      <c r="A95" s="1">
        <v>43831</v>
      </c>
      <c r="B95" s="2">
        <f>YEAR(Q2_data[[#This Row],[date]])</f>
        <v>2020</v>
      </c>
      <c r="C95" s="31">
        <v>68.11</v>
      </c>
      <c r="D95" s="31">
        <f t="shared" si="2"/>
        <v>0.1470372004116958</v>
      </c>
    </row>
    <row r="96" spans="1:4" x14ac:dyDescent="0.35">
      <c r="A96" s="1">
        <v>43862</v>
      </c>
      <c r="B96" s="2">
        <f>YEAR(Q2_data[[#This Row],[date]])</f>
        <v>2020</v>
      </c>
      <c r="C96" s="31">
        <v>67.400000000000006</v>
      </c>
      <c r="D96" s="31">
        <f t="shared" si="2"/>
        <v>-1.0424313610336129</v>
      </c>
    </row>
    <row r="97" spans="1:4" x14ac:dyDescent="0.35">
      <c r="A97" s="1">
        <v>43891</v>
      </c>
      <c r="B97" s="2">
        <f>YEAR(Q2_data[[#This Row],[date]])</f>
        <v>2020</v>
      </c>
      <c r="C97" s="31">
        <v>66.42</v>
      </c>
      <c r="D97" s="31">
        <f t="shared" si="2"/>
        <v>-1.4540059347181067</v>
      </c>
    </row>
    <row r="98" spans="1:4" x14ac:dyDescent="0.35">
      <c r="A98" s="1">
        <v>43922</v>
      </c>
      <c r="B98" s="2">
        <f>YEAR(Q2_data[[#This Row],[date]])</f>
        <v>2020</v>
      </c>
      <c r="C98" s="31">
        <v>66.02</v>
      </c>
      <c r="D98" s="31">
        <f t="shared" si="2"/>
        <v>-0.60222824450467582</v>
      </c>
    </row>
    <row r="99" spans="1:4" x14ac:dyDescent="0.35">
      <c r="A99" s="1">
        <v>43952</v>
      </c>
      <c r="B99" s="2">
        <f>YEAR(Q2_data[[#This Row],[date]])</f>
        <v>2020</v>
      </c>
      <c r="C99" s="31">
        <v>65.349999999999994</v>
      </c>
      <c r="D99" s="31">
        <f t="shared" si="2"/>
        <v>-1.0148439866707084</v>
      </c>
    </row>
    <row r="100" spans="1:4" x14ac:dyDescent="0.35">
      <c r="A100" s="1">
        <v>43983</v>
      </c>
      <c r="B100" s="2">
        <f>YEAR(Q2_data[[#This Row],[date]])</f>
        <v>2020</v>
      </c>
      <c r="C100" s="31">
        <v>66.23</v>
      </c>
      <c r="D100" s="31">
        <f t="shared" si="2"/>
        <v>1.3465952563121801</v>
      </c>
    </row>
    <row r="101" spans="1:4" x14ac:dyDescent="0.35">
      <c r="A101" s="1">
        <v>44013</v>
      </c>
      <c r="B101" s="2">
        <f>YEAR(Q2_data[[#This Row],[date]])</f>
        <v>2020</v>
      </c>
      <c r="C101" s="31">
        <v>67.180000000000007</v>
      </c>
      <c r="D101" s="31">
        <f t="shared" si="2"/>
        <v>1.4343952891438967</v>
      </c>
    </row>
    <row r="102" spans="1:4" x14ac:dyDescent="0.35">
      <c r="A102" s="1">
        <v>44044</v>
      </c>
      <c r="B102" s="2">
        <f>YEAR(Q2_data[[#This Row],[date]])</f>
        <v>2020</v>
      </c>
      <c r="C102" s="31">
        <v>67.75</v>
      </c>
      <c r="D102" s="31">
        <f t="shared" si="2"/>
        <v>0.84846680559689358</v>
      </c>
    </row>
    <row r="103" spans="1:4" x14ac:dyDescent="0.35">
      <c r="A103" s="1">
        <v>44075</v>
      </c>
      <c r="B103" s="2">
        <f>YEAR(Q2_data[[#This Row],[date]])</f>
        <v>2020</v>
      </c>
      <c r="C103" s="31">
        <v>68.27</v>
      </c>
      <c r="D103" s="31">
        <f t="shared" si="2"/>
        <v>0.76752767527674692</v>
      </c>
    </row>
    <row r="104" spans="1:4" x14ac:dyDescent="0.35">
      <c r="A104" s="1">
        <v>44105</v>
      </c>
      <c r="B104" s="2">
        <f>YEAR(Q2_data[[#This Row],[date]])</f>
        <v>2020</v>
      </c>
      <c r="C104" s="31">
        <v>68.680000000000007</v>
      </c>
      <c r="D104" s="31">
        <f t="shared" si="2"/>
        <v>0.60055661344662492</v>
      </c>
    </row>
    <row r="105" spans="1:4" x14ac:dyDescent="0.35">
      <c r="A105" s="1">
        <v>44136</v>
      </c>
      <c r="B105" s="2">
        <f>YEAR(Q2_data[[#This Row],[date]])</f>
        <v>2020</v>
      </c>
      <c r="C105" s="31">
        <v>69.34</v>
      </c>
      <c r="D105" s="31">
        <f t="shared" si="2"/>
        <v>0.96097845078624999</v>
      </c>
    </row>
    <row r="106" spans="1:4" x14ac:dyDescent="0.35">
      <c r="A106" s="1">
        <v>44166</v>
      </c>
      <c r="B106" s="2">
        <f>YEAR(Q2_data[[#This Row],[date]])</f>
        <v>2020</v>
      </c>
      <c r="C106" s="31">
        <v>69.349999999999994</v>
      </c>
      <c r="D106" s="31">
        <f t="shared" si="2"/>
        <v>1.4421690222080912E-2</v>
      </c>
    </row>
    <row r="107" spans="1:4" x14ac:dyDescent="0.35">
      <c r="A107" s="1">
        <v>44197</v>
      </c>
      <c r="B107" s="2">
        <f>YEAR(Q2_data[[#This Row],[date]])</f>
        <v>2021</v>
      </c>
      <c r="C107" s="31">
        <v>69.819999999999993</v>
      </c>
      <c r="D107" s="31">
        <f t="shared" si="2"/>
        <v>0.67772170151405753</v>
      </c>
    </row>
    <row r="108" spans="1:4" x14ac:dyDescent="0.35">
      <c r="A108" s="1">
        <v>44228</v>
      </c>
      <c r="B108" s="2">
        <f>YEAR(Q2_data[[#This Row],[date]])</f>
        <v>2021</v>
      </c>
      <c r="C108" s="31">
        <v>70.63</v>
      </c>
      <c r="D108" s="31">
        <f t="shared" si="2"/>
        <v>1.1601260383844205</v>
      </c>
    </row>
    <row r="109" spans="1:4" x14ac:dyDescent="0.35">
      <c r="A109" s="1">
        <v>44256</v>
      </c>
      <c r="B109" s="2">
        <f>YEAR(Q2_data[[#This Row],[date]])</f>
        <v>2021</v>
      </c>
      <c r="C109" s="31">
        <v>71.510000000000005</v>
      </c>
      <c r="D109" s="31">
        <f t="shared" si="2"/>
        <v>1.2459294917174144</v>
      </c>
    </row>
    <row r="110" spans="1:4" x14ac:dyDescent="0.35">
      <c r="A110" s="1">
        <v>44287</v>
      </c>
      <c r="B110" s="2">
        <f>YEAR(Q2_data[[#This Row],[date]])</f>
        <v>2021</v>
      </c>
      <c r="C110" s="31">
        <v>72.77</v>
      </c>
      <c r="D110" s="31">
        <f t="shared" si="2"/>
        <v>1.7619913298839194</v>
      </c>
    </row>
    <row r="111" spans="1:4" x14ac:dyDescent="0.35">
      <c r="A111" s="1">
        <v>44317</v>
      </c>
      <c r="B111" s="2">
        <f>YEAR(Q2_data[[#This Row],[date]])</f>
        <v>2021</v>
      </c>
      <c r="C111" s="31">
        <v>73.38</v>
      </c>
      <c r="D111" s="31">
        <f t="shared" si="2"/>
        <v>0.83825752370482265</v>
      </c>
    </row>
    <row r="112" spans="1:4" x14ac:dyDescent="0.35">
      <c r="A112" s="1">
        <v>44348</v>
      </c>
      <c r="B112" s="2">
        <f>YEAR(Q2_data[[#This Row],[date]])</f>
        <v>2021</v>
      </c>
      <c r="C112" s="31">
        <v>73.78</v>
      </c>
      <c r="D112" s="31">
        <f t="shared" si="2"/>
        <v>0.54510765876261336</v>
      </c>
    </row>
    <row r="113" spans="1:4" x14ac:dyDescent="0.35">
      <c r="A113" s="1">
        <v>44378</v>
      </c>
      <c r="B113" s="2">
        <f>YEAR(Q2_data[[#This Row],[date]])</f>
        <v>2021</v>
      </c>
      <c r="C113" s="31">
        <v>74.52</v>
      </c>
      <c r="D113" s="31">
        <f t="shared" si="2"/>
        <v>1.0029818378964419</v>
      </c>
    </row>
    <row r="114" spans="1:4" x14ac:dyDescent="0.35">
      <c r="A114" s="1">
        <v>44409</v>
      </c>
      <c r="B114" s="2">
        <f>YEAR(Q2_data[[#This Row],[date]])</f>
        <v>2021</v>
      </c>
      <c r="C114" s="31">
        <v>75.17</v>
      </c>
      <c r="D114" s="31">
        <f t="shared" si="2"/>
        <v>0.8722490606548654</v>
      </c>
    </row>
    <row r="115" spans="1:4" x14ac:dyDescent="0.35">
      <c r="A115" s="1">
        <v>44440</v>
      </c>
      <c r="B115" s="2">
        <f>YEAR(Q2_data[[#This Row],[date]])</f>
        <v>2021</v>
      </c>
      <c r="C115" s="31">
        <v>75.790000000000006</v>
      </c>
      <c r="D115" s="31">
        <f t="shared" si="2"/>
        <v>0.82479712651324266</v>
      </c>
    </row>
    <row r="116" spans="1:4" x14ac:dyDescent="0.35">
      <c r="A116" s="1">
        <v>44470</v>
      </c>
      <c r="B116" s="2">
        <f>YEAR(Q2_data[[#This Row],[date]])</f>
        <v>2021</v>
      </c>
      <c r="C116" s="31">
        <v>77.510000000000005</v>
      </c>
      <c r="D116" s="31">
        <f t="shared" si="2"/>
        <v>2.2694286845230223</v>
      </c>
    </row>
    <row r="117" spans="1:4" x14ac:dyDescent="0.35">
      <c r="A117" s="1">
        <v>44501</v>
      </c>
      <c r="B117" s="2">
        <f>YEAR(Q2_data[[#This Row],[date]])</f>
        <v>2021</v>
      </c>
      <c r="C117" s="31">
        <v>78.989999999999995</v>
      </c>
      <c r="D117" s="31">
        <f t="shared" si="2"/>
        <v>1.9094310411559665</v>
      </c>
    </row>
    <row r="118" spans="1:4" x14ac:dyDescent="0.35">
      <c r="A118" s="1">
        <v>44531</v>
      </c>
      <c r="B118" s="2">
        <f>YEAR(Q2_data[[#This Row],[date]])</f>
        <v>2021</v>
      </c>
      <c r="C118" s="31">
        <v>78.83</v>
      </c>
      <c r="D118" s="31">
        <f t="shared" si="2"/>
        <v>-0.20255728573236689</v>
      </c>
    </row>
    <row r="119" spans="1:4" x14ac:dyDescent="0.35">
      <c r="A119" s="1">
        <v>44562</v>
      </c>
      <c r="B119" s="2">
        <f>YEAR(Q2_data[[#This Row],[date]])</f>
        <v>2022</v>
      </c>
      <c r="C119" s="31">
        <v>78.989999999999995</v>
      </c>
      <c r="D119" s="31">
        <f t="shared" si="2"/>
        <v>0.20296841304071622</v>
      </c>
    </row>
    <row r="120" spans="1:4" x14ac:dyDescent="0.35">
      <c r="A120" s="1">
        <v>44593</v>
      </c>
      <c r="B120" s="2">
        <f>YEAR(Q2_data[[#This Row],[date]])</f>
        <v>2022</v>
      </c>
      <c r="C120" s="31">
        <v>79.739999999999995</v>
      </c>
      <c r="D120" s="31">
        <f t="shared" si="2"/>
        <v>0.94948727687048995</v>
      </c>
    </row>
    <row r="121" spans="1:4" x14ac:dyDescent="0.35">
      <c r="A121" s="1">
        <v>44621</v>
      </c>
      <c r="B121" s="2">
        <f>YEAR(Q2_data[[#This Row],[date]])</f>
        <v>2022</v>
      </c>
      <c r="C121" s="31">
        <v>81.569999999999993</v>
      </c>
      <c r="D121" s="31">
        <f t="shared" si="2"/>
        <v>2.2949586155003741</v>
      </c>
    </row>
    <row r="122" spans="1:4" x14ac:dyDescent="0.35">
      <c r="A122" s="1">
        <v>44652</v>
      </c>
      <c r="B122" s="2">
        <f>YEAR(Q2_data[[#This Row],[date]])</f>
        <v>2022</v>
      </c>
      <c r="C122" s="31">
        <v>83.39</v>
      </c>
      <c r="D122" s="31">
        <f t="shared" si="2"/>
        <v>2.2312124555596511</v>
      </c>
    </row>
    <row r="123" spans="1:4" x14ac:dyDescent="0.35">
      <c r="A123" s="1">
        <v>44682</v>
      </c>
      <c r="B123" s="2">
        <f>YEAR(Q2_data[[#This Row],[date]])</f>
        <v>2022</v>
      </c>
      <c r="C123" s="31">
        <v>84.92</v>
      </c>
      <c r="D123" s="31">
        <f t="shared" si="2"/>
        <v>1.8347523683894964</v>
      </c>
    </row>
    <row r="124" spans="1:4" x14ac:dyDescent="0.35">
      <c r="A124" s="1">
        <v>44713</v>
      </c>
      <c r="B124" s="2">
        <f>YEAR(Q2_data[[#This Row],[date]])</f>
        <v>2022</v>
      </c>
      <c r="C124" s="31">
        <v>85.09</v>
      </c>
      <c r="D124" s="31">
        <f t="shared" si="2"/>
        <v>0.20018841262364778</v>
      </c>
    </row>
    <row r="125" spans="1:4" x14ac:dyDescent="0.35">
      <c r="A125" s="1">
        <v>44743</v>
      </c>
      <c r="B125" s="2">
        <f>YEAR(Q2_data[[#This Row],[date]])</f>
        <v>2022</v>
      </c>
      <c r="C125" s="31">
        <v>84.35</v>
      </c>
      <c r="D125" s="31">
        <f t="shared" si="2"/>
        <v>-0.8696674109766237</v>
      </c>
    </row>
    <row r="126" spans="1:4" x14ac:dyDescent="0.35">
      <c r="A126" s="1">
        <v>44774</v>
      </c>
      <c r="B126" s="2">
        <f>YEAR(Q2_data[[#This Row],[date]])</f>
        <v>2022</v>
      </c>
      <c r="C126" s="31">
        <v>84.13</v>
      </c>
      <c r="D126" s="31">
        <f t="shared" si="2"/>
        <v>-0.26081802015411842</v>
      </c>
    </row>
    <row r="127" spans="1:4" x14ac:dyDescent="0.35">
      <c r="A127" s="1">
        <v>44805</v>
      </c>
      <c r="B127" s="2">
        <f>YEAR(Q2_data[[#This Row],[date]])</f>
        <v>2022</v>
      </c>
      <c r="C127" s="31">
        <v>83.38</v>
      </c>
      <c r="D127" s="31">
        <f t="shared" si="2"/>
        <v>-0.89147747533578992</v>
      </c>
    </row>
    <row r="128" spans="1:4" x14ac:dyDescent="0.35">
      <c r="A128" s="1">
        <v>44835</v>
      </c>
      <c r="B128" s="2">
        <f>YEAR(Q2_data[[#This Row],[date]])</f>
        <v>2022</v>
      </c>
      <c r="C128" s="31">
        <v>83.84</v>
      </c>
      <c r="D128" s="31">
        <f t="shared" si="2"/>
        <v>0.55169105301032384</v>
      </c>
    </row>
    <row r="129" spans="1:4" x14ac:dyDescent="0.35">
      <c r="A129" s="1">
        <v>44866</v>
      </c>
      <c r="B129" s="2">
        <f>YEAR(Q2_data[[#This Row],[date]])</f>
        <v>2022</v>
      </c>
      <c r="C129" s="31">
        <v>83.36</v>
      </c>
      <c r="D129" s="31">
        <f t="shared" si="2"/>
        <v>-0.57251908396947038</v>
      </c>
    </row>
    <row r="130" spans="1:4" x14ac:dyDescent="0.35">
      <c r="A130" s="1">
        <v>44896</v>
      </c>
      <c r="B130" s="2">
        <f>YEAR(Q2_data[[#This Row],[date]])</f>
        <v>2022</v>
      </c>
      <c r="C130" s="31">
        <v>82.31</v>
      </c>
      <c r="D130" s="31">
        <f t="shared" si="2"/>
        <v>-1.259596928982722</v>
      </c>
    </row>
    <row r="131" spans="1:4" x14ac:dyDescent="0.35">
      <c r="A131" s="1">
        <v>44927</v>
      </c>
      <c r="B131" s="2">
        <f>YEAR(Q2_data[[#This Row],[date]])</f>
        <v>2023</v>
      </c>
      <c r="C131" s="31">
        <v>82.45</v>
      </c>
      <c r="D131" s="31">
        <f t="shared" si="2"/>
        <v>0.17008868910217539</v>
      </c>
    </row>
    <row r="132" spans="1:4" x14ac:dyDescent="0.35">
      <c r="A132" s="1">
        <v>44958</v>
      </c>
      <c r="B132" s="2">
        <f>YEAR(Q2_data[[#This Row],[date]])</f>
        <v>2023</v>
      </c>
      <c r="C132" s="31">
        <v>82.56</v>
      </c>
      <c r="D132" s="31">
        <f t="shared" ref="D132:D140" si="3">($C132-$C131)*100/$C131</f>
        <v>0.13341419041843472</v>
      </c>
    </row>
    <row r="133" spans="1:4" x14ac:dyDescent="0.35">
      <c r="A133" s="1">
        <v>44986</v>
      </c>
      <c r="B133" s="2">
        <f>YEAR(Q2_data[[#This Row],[date]])</f>
        <v>2023</v>
      </c>
      <c r="C133" s="31">
        <v>82.59</v>
      </c>
      <c r="D133" s="31">
        <f t="shared" si="3"/>
        <v>3.6337209302326957E-2</v>
      </c>
    </row>
    <row r="134" spans="1:4" x14ac:dyDescent="0.35">
      <c r="A134" s="1">
        <v>45017</v>
      </c>
      <c r="B134" s="2">
        <f>YEAR(Q2_data[[#This Row],[date]])</f>
        <v>2023</v>
      </c>
      <c r="C134" s="31">
        <v>82.74</v>
      </c>
      <c r="D134" s="31">
        <f t="shared" si="3"/>
        <v>0.18162005085360391</v>
      </c>
    </row>
    <row r="135" spans="1:4" x14ac:dyDescent="0.35">
      <c r="A135" s="1">
        <v>45047</v>
      </c>
      <c r="B135" s="2">
        <f>YEAR(Q2_data[[#This Row],[date]])</f>
        <v>2023</v>
      </c>
      <c r="C135" s="31">
        <v>82.1</v>
      </c>
      <c r="D135" s="31">
        <f t="shared" si="3"/>
        <v>-0.77350737249214485</v>
      </c>
    </row>
    <row r="136" spans="1:4" x14ac:dyDescent="0.35">
      <c r="A136" s="1">
        <v>45078</v>
      </c>
      <c r="B136" s="2">
        <f>YEAR(Q2_data[[#This Row],[date]])</f>
        <v>2023</v>
      </c>
      <c r="C136" s="31">
        <v>81.88</v>
      </c>
      <c r="D136" s="31">
        <f t="shared" si="3"/>
        <v>-0.26796589524969411</v>
      </c>
    </row>
    <row r="137" spans="1:4" x14ac:dyDescent="0.35">
      <c r="A137" s="1">
        <v>45108</v>
      </c>
      <c r="B137" s="2">
        <f>YEAR(Q2_data[[#This Row],[date]])</f>
        <v>2023</v>
      </c>
      <c r="C137" s="31">
        <v>83.91</v>
      </c>
      <c r="D137" s="31">
        <f t="shared" si="3"/>
        <v>2.4792379091353216</v>
      </c>
    </row>
    <row r="138" spans="1:4" x14ac:dyDescent="0.35">
      <c r="A138" s="1">
        <v>45139</v>
      </c>
      <c r="B138" s="2">
        <f>YEAR(Q2_data[[#This Row],[date]])</f>
        <v>2023</v>
      </c>
      <c r="C138" s="31">
        <v>84.07</v>
      </c>
      <c r="D138" s="31">
        <f t="shared" si="3"/>
        <v>0.19068049100226028</v>
      </c>
    </row>
    <row r="139" spans="1:4" x14ac:dyDescent="0.35">
      <c r="A139" s="1">
        <v>45170</v>
      </c>
      <c r="B139" s="2">
        <f>YEAR(Q2_data[[#This Row],[date]])</f>
        <v>2023</v>
      </c>
      <c r="C139" s="31">
        <v>83.4</v>
      </c>
      <c r="D139" s="31">
        <f t="shared" si="3"/>
        <v>-0.7969549185202659</v>
      </c>
    </row>
    <row r="140" spans="1:4" x14ac:dyDescent="0.35">
      <c r="A140" s="1">
        <v>45200</v>
      </c>
      <c r="B140" s="2">
        <f>YEAR(Q2_data[[#This Row],[date]])</f>
        <v>2023</v>
      </c>
      <c r="C140" s="31">
        <v>83.72</v>
      </c>
      <c r="D140" s="31">
        <f t="shared" si="3"/>
        <v>0.38369304556354095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73B03-94B5-4DA6-B49D-4AAE253EE482}">
  <dimension ref="A1:N32"/>
  <sheetViews>
    <sheetView tabSelected="1" zoomScale="40" workbookViewId="0">
      <selection activeCell="T11" sqref="T11"/>
    </sheetView>
  </sheetViews>
  <sheetFormatPr defaultRowHeight="14.5" x14ac:dyDescent="0.35"/>
  <cols>
    <col min="1" max="1" width="12.453125" bestFit="1" customWidth="1"/>
    <col min="2" max="3" width="10.26953125" bestFit="1" customWidth="1"/>
    <col min="4" max="4" width="12.453125" bestFit="1" customWidth="1"/>
    <col min="12" max="12" width="13.1796875" bestFit="1" customWidth="1"/>
    <col min="13" max="13" width="12" bestFit="1" customWidth="1"/>
    <col min="14" max="14" width="13.90625" bestFit="1" customWidth="1"/>
  </cols>
  <sheetData>
    <row r="1" spans="1:14" x14ac:dyDescent="0.35">
      <c r="A1" s="15" t="s">
        <v>900</v>
      </c>
      <c r="B1" s="41" t="s">
        <v>744</v>
      </c>
      <c r="C1" s="16" t="s">
        <v>920</v>
      </c>
      <c r="H1" s="15" t="s">
        <v>757</v>
      </c>
      <c r="I1" s="41" t="s">
        <v>744</v>
      </c>
      <c r="J1" s="16" t="s">
        <v>921</v>
      </c>
      <c r="L1" s="5" t="s">
        <v>781</v>
      </c>
      <c r="M1" t="s">
        <v>924</v>
      </c>
      <c r="N1" t="s">
        <v>925</v>
      </c>
    </row>
    <row r="2" spans="1:14" x14ac:dyDescent="0.35">
      <c r="A2" s="33">
        <v>44835</v>
      </c>
      <c r="B2" s="34">
        <v>83.84</v>
      </c>
      <c r="C2" s="35">
        <v>0.55169105301032384</v>
      </c>
      <c r="H2" s="39">
        <v>2012</v>
      </c>
      <c r="I2" s="34">
        <v>58.124444444444443</v>
      </c>
      <c r="J2" s="35">
        <v>0</v>
      </c>
      <c r="L2" s="6">
        <v>2012</v>
      </c>
      <c r="M2" s="32">
        <v>58.124444444444443</v>
      </c>
      <c r="N2" s="32">
        <v>0</v>
      </c>
    </row>
    <row r="3" spans="1:14" x14ac:dyDescent="0.35">
      <c r="A3" s="33">
        <v>44866</v>
      </c>
      <c r="B3" s="34">
        <v>83.36</v>
      </c>
      <c r="C3" s="35">
        <v>-0.57251908396947038</v>
      </c>
      <c r="H3" s="39">
        <v>2013</v>
      </c>
      <c r="I3" s="34">
        <v>60.757499999999993</v>
      </c>
      <c r="J3" s="35">
        <v>4.5300313503593745</v>
      </c>
      <c r="L3" s="6">
        <v>2013</v>
      </c>
      <c r="M3" s="32">
        <v>60.757499999999993</v>
      </c>
      <c r="N3" s="32">
        <v>4.5300313503593745</v>
      </c>
    </row>
    <row r="4" spans="1:14" x14ac:dyDescent="0.35">
      <c r="A4" s="33">
        <v>44896</v>
      </c>
      <c r="B4" s="34">
        <v>82.31</v>
      </c>
      <c r="C4" s="35">
        <v>-1.259596928982722</v>
      </c>
      <c r="H4" s="39">
        <v>2014</v>
      </c>
      <c r="I4" s="34">
        <v>62.849999999999994</v>
      </c>
      <c r="J4" s="35">
        <v>3.4440192568818686</v>
      </c>
      <c r="L4" s="6">
        <v>2014</v>
      </c>
      <c r="M4" s="32">
        <v>62.849999999999994</v>
      </c>
      <c r="N4" s="32">
        <v>3.4440192568818686</v>
      </c>
    </row>
    <row r="5" spans="1:14" x14ac:dyDescent="0.35">
      <c r="A5" s="33">
        <v>44927</v>
      </c>
      <c r="B5" s="34">
        <v>82.45</v>
      </c>
      <c r="C5" s="35">
        <v>0.17008868910217539</v>
      </c>
      <c r="H5" s="39">
        <v>2015</v>
      </c>
      <c r="I5" s="34">
        <v>60.845833333333331</v>
      </c>
      <c r="J5" s="35">
        <v>-3.1888093343940542</v>
      </c>
      <c r="L5" s="6">
        <v>2015</v>
      </c>
      <c r="M5" s="32">
        <v>60.845833333333331</v>
      </c>
      <c r="N5" s="32">
        <v>-3.1888093343940542</v>
      </c>
    </row>
    <row r="6" spans="1:14" x14ac:dyDescent="0.35">
      <c r="A6" s="33">
        <v>44958</v>
      </c>
      <c r="B6" s="34">
        <v>82.56</v>
      </c>
      <c r="C6" s="35">
        <v>0.13341419041843472</v>
      </c>
      <c r="H6" s="39">
        <v>2016</v>
      </c>
      <c r="I6" s="34">
        <v>61.029166666666669</v>
      </c>
      <c r="J6" s="35">
        <v>0.3013079504211526</v>
      </c>
      <c r="L6" s="6">
        <v>2016</v>
      </c>
      <c r="M6" s="32">
        <v>61.029166666666669</v>
      </c>
      <c r="N6" s="32">
        <v>0.3013079504211526</v>
      </c>
    </row>
    <row r="7" spans="1:14" x14ac:dyDescent="0.35">
      <c r="A7" s="33">
        <v>44986</v>
      </c>
      <c r="B7" s="34">
        <v>82.59</v>
      </c>
      <c r="C7" s="35">
        <v>3.6337209302326957E-2</v>
      </c>
      <c r="H7" s="39">
        <v>2017</v>
      </c>
      <c r="I7" s="34">
        <v>63.025833333333317</v>
      </c>
      <c r="J7" s="35">
        <v>3.2716597255410362</v>
      </c>
      <c r="L7" s="6">
        <v>2017</v>
      </c>
      <c r="M7" s="32">
        <v>63.025833333333317</v>
      </c>
      <c r="N7" s="32">
        <v>3.2716597255410362</v>
      </c>
    </row>
    <row r="8" spans="1:14" x14ac:dyDescent="0.35">
      <c r="A8" s="33">
        <v>45017</v>
      </c>
      <c r="B8" s="34">
        <v>82.74</v>
      </c>
      <c r="C8" s="35">
        <v>0.18162005085360391</v>
      </c>
      <c r="H8" s="39">
        <v>2018</v>
      </c>
      <c r="I8" s="34">
        <v>65.485833333333332</v>
      </c>
      <c r="J8" s="35">
        <v>3.9031614020706042</v>
      </c>
      <c r="L8" s="6">
        <v>2018</v>
      </c>
      <c r="M8" s="32">
        <v>65.485833333333332</v>
      </c>
      <c r="N8" s="32">
        <v>3.9031614020706042</v>
      </c>
    </row>
    <row r="9" spans="1:14" x14ac:dyDescent="0.35">
      <c r="A9" s="33">
        <v>45047</v>
      </c>
      <c r="B9" s="34">
        <v>82.1</v>
      </c>
      <c r="C9" s="35">
        <v>-0.77350737249214485</v>
      </c>
      <c r="H9" s="39">
        <v>2019</v>
      </c>
      <c r="I9" s="34">
        <v>66.910000000000011</v>
      </c>
      <c r="J9" s="35">
        <v>2.1747706246898368</v>
      </c>
      <c r="L9" s="6">
        <v>2019</v>
      </c>
      <c r="M9" s="32">
        <v>66.910000000000011</v>
      </c>
      <c r="N9" s="32">
        <v>2.1747706246898368</v>
      </c>
    </row>
    <row r="10" spans="1:14" x14ac:dyDescent="0.35">
      <c r="A10" s="33">
        <v>45078</v>
      </c>
      <c r="B10" s="34">
        <v>81.88</v>
      </c>
      <c r="C10" s="35">
        <v>-0.26796589524969411</v>
      </c>
      <c r="H10" s="39">
        <v>2020</v>
      </c>
      <c r="I10" s="34">
        <v>67.50833333333334</v>
      </c>
      <c r="J10" s="35">
        <v>0.89423603845961597</v>
      </c>
      <c r="L10" s="6">
        <v>2020</v>
      </c>
      <c r="M10" s="32">
        <v>67.50833333333334</v>
      </c>
      <c r="N10" s="32">
        <v>0.89423603845961597</v>
      </c>
    </row>
    <row r="11" spans="1:14" x14ac:dyDescent="0.35">
      <c r="A11" s="33">
        <v>45108</v>
      </c>
      <c r="B11" s="34">
        <v>83.91</v>
      </c>
      <c r="C11" s="35">
        <v>2.4792379091353216</v>
      </c>
      <c r="H11" s="39">
        <v>2021</v>
      </c>
      <c r="I11" s="34">
        <v>74.391666666666666</v>
      </c>
      <c r="J11" s="35">
        <v>10.196272065177126</v>
      </c>
      <c r="L11" s="6">
        <v>2021</v>
      </c>
      <c r="M11" s="32">
        <v>74.391666666666666</v>
      </c>
      <c r="N11" s="32">
        <v>10.196272065177126</v>
      </c>
    </row>
    <row r="12" spans="1:14" x14ac:dyDescent="0.35">
      <c r="A12" s="33">
        <v>45139</v>
      </c>
      <c r="B12" s="34">
        <v>84.07</v>
      </c>
      <c r="C12" s="35">
        <v>0.19068049100226028</v>
      </c>
      <c r="H12" s="39">
        <v>2022</v>
      </c>
      <c r="I12" s="34">
        <v>82.922500000000014</v>
      </c>
      <c r="J12" s="35">
        <v>11.467458272656009</v>
      </c>
      <c r="L12" s="6">
        <v>2022</v>
      </c>
      <c r="M12" s="32">
        <v>82.922500000000014</v>
      </c>
      <c r="N12" s="32">
        <v>11.467458272656009</v>
      </c>
    </row>
    <row r="13" spans="1:14" x14ac:dyDescent="0.35">
      <c r="A13" s="33">
        <v>45170</v>
      </c>
      <c r="B13" s="34">
        <v>83.4</v>
      </c>
      <c r="C13" s="35">
        <v>-0.7969549185202659</v>
      </c>
      <c r="H13" s="40">
        <v>2023</v>
      </c>
      <c r="I13" s="37">
        <v>82.941999999999993</v>
      </c>
      <c r="J13" s="38">
        <v>2.3515933552388579E-2</v>
      </c>
      <c r="L13" s="6">
        <v>2023</v>
      </c>
      <c r="M13" s="32">
        <v>82.941999999999993</v>
      </c>
      <c r="N13" s="32">
        <v>2.3515933552388579E-2</v>
      </c>
    </row>
    <row r="14" spans="1:14" x14ac:dyDescent="0.35">
      <c r="A14" s="36">
        <v>45200</v>
      </c>
      <c r="B14" s="37">
        <v>83.72</v>
      </c>
      <c r="C14" s="38">
        <v>0.38369304556354095</v>
      </c>
      <c r="L14" s="6" t="s">
        <v>782</v>
      </c>
      <c r="M14" s="32">
        <v>806.7931111111111</v>
      </c>
      <c r="N14" s="32">
        <v>37.017623285414956</v>
      </c>
    </row>
    <row r="16" spans="1:14" x14ac:dyDescent="0.35">
      <c r="A16" s="5" t="s">
        <v>781</v>
      </c>
      <c r="B16" t="s">
        <v>923</v>
      </c>
      <c r="C16" t="s">
        <v>922</v>
      </c>
    </row>
    <row r="17" spans="1:3" x14ac:dyDescent="0.35">
      <c r="A17" s="6" t="s">
        <v>898</v>
      </c>
      <c r="B17" s="32">
        <v>249.51</v>
      </c>
      <c r="C17" s="32">
        <v>-1.2804249599418687</v>
      </c>
    </row>
    <row r="18" spans="1:3" x14ac:dyDescent="0.35">
      <c r="A18" s="12" t="s">
        <v>751</v>
      </c>
      <c r="B18" s="32">
        <v>83.84</v>
      </c>
      <c r="C18" s="32">
        <v>0.55169105301032384</v>
      </c>
    </row>
    <row r="19" spans="1:3" x14ac:dyDescent="0.35">
      <c r="A19" s="12" t="s">
        <v>752</v>
      </c>
      <c r="B19" s="32">
        <v>83.36</v>
      </c>
      <c r="C19" s="32">
        <v>-0.57251908396947038</v>
      </c>
    </row>
    <row r="20" spans="1:3" x14ac:dyDescent="0.35">
      <c r="A20" s="12" t="s">
        <v>753</v>
      </c>
      <c r="B20" s="32">
        <v>82.31</v>
      </c>
      <c r="C20" s="32">
        <v>-1.259596928982722</v>
      </c>
    </row>
    <row r="21" spans="1:3" x14ac:dyDescent="0.35">
      <c r="A21" s="6" t="s">
        <v>899</v>
      </c>
      <c r="B21" s="32">
        <v>829.42</v>
      </c>
      <c r="C21" s="32">
        <v>1.7366433991155588</v>
      </c>
    </row>
    <row r="22" spans="1:3" x14ac:dyDescent="0.35">
      <c r="A22" s="12" t="s">
        <v>754</v>
      </c>
      <c r="B22" s="32">
        <v>82.45</v>
      </c>
      <c r="C22" s="32">
        <v>0.17008868910217539</v>
      </c>
    </row>
    <row r="23" spans="1:3" x14ac:dyDescent="0.35">
      <c r="A23" s="12" t="s">
        <v>755</v>
      </c>
      <c r="B23" s="32">
        <v>82.56</v>
      </c>
      <c r="C23" s="32">
        <v>0.13341419041843472</v>
      </c>
    </row>
    <row r="24" spans="1:3" x14ac:dyDescent="0.35">
      <c r="A24" s="12" t="s">
        <v>756</v>
      </c>
      <c r="B24" s="32">
        <v>82.59</v>
      </c>
      <c r="C24" s="32">
        <v>3.6337209302326957E-2</v>
      </c>
    </row>
    <row r="25" spans="1:3" x14ac:dyDescent="0.35">
      <c r="A25" s="12" t="s">
        <v>745</v>
      </c>
      <c r="B25" s="32">
        <v>82.74</v>
      </c>
      <c r="C25" s="32">
        <v>0.18162005085360391</v>
      </c>
    </row>
    <row r="26" spans="1:3" x14ac:dyDescent="0.35">
      <c r="A26" s="12" t="s">
        <v>746</v>
      </c>
      <c r="B26" s="32">
        <v>82.1</v>
      </c>
      <c r="C26" s="32">
        <v>-0.77350737249214485</v>
      </c>
    </row>
    <row r="27" spans="1:3" x14ac:dyDescent="0.35">
      <c r="A27" s="12" t="s">
        <v>747</v>
      </c>
      <c r="B27" s="32">
        <v>81.88</v>
      </c>
      <c r="C27" s="32">
        <v>-0.26796589524969411</v>
      </c>
    </row>
    <row r="28" spans="1:3" x14ac:dyDescent="0.35">
      <c r="A28" s="12" t="s">
        <v>748</v>
      </c>
      <c r="B28" s="32">
        <v>83.91</v>
      </c>
      <c r="C28" s="32">
        <v>2.4792379091353216</v>
      </c>
    </row>
    <row r="29" spans="1:3" x14ac:dyDescent="0.35">
      <c r="A29" s="12" t="s">
        <v>749</v>
      </c>
      <c r="B29" s="32">
        <v>84.07</v>
      </c>
      <c r="C29" s="32">
        <v>0.19068049100226028</v>
      </c>
    </row>
    <row r="30" spans="1:3" x14ac:dyDescent="0.35">
      <c r="A30" s="12" t="s">
        <v>750</v>
      </c>
      <c r="B30" s="32">
        <v>83.4</v>
      </c>
      <c r="C30" s="32">
        <v>-0.7969549185202659</v>
      </c>
    </row>
    <row r="31" spans="1:3" x14ac:dyDescent="0.35">
      <c r="A31" s="12" t="s">
        <v>751</v>
      </c>
      <c r="B31" s="32">
        <v>83.72</v>
      </c>
      <c r="C31" s="32">
        <v>0.38369304556354095</v>
      </c>
    </row>
    <row r="32" spans="1:3" x14ac:dyDescent="0.35">
      <c r="A32" s="6" t="s">
        <v>782</v>
      </c>
      <c r="B32" s="32">
        <v>1078.9299999999998</v>
      </c>
      <c r="C32" s="32">
        <v>0.45621843917369026</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14D0FC-1C1D-4AD8-AC17-1A044B1536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Q1-data</vt:lpstr>
      <vt:lpstr>Q1 - analysis</vt:lpstr>
      <vt:lpstr>Q2-data</vt:lpstr>
      <vt:lpstr>Q2 -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Nayak</dc:creator>
  <cp:lastModifiedBy>Anurag Nayak</cp:lastModifiedBy>
  <dcterms:created xsi:type="dcterms:W3CDTF">2025-11-20T16:58:27Z</dcterms:created>
  <dcterms:modified xsi:type="dcterms:W3CDTF">2025-12-18T19:04:37Z</dcterms:modified>
</cp:coreProperties>
</file>